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 Brief" sheetId="1" state="visible" r:id="rId1"/>
    <sheet xmlns:r="http://schemas.openxmlformats.org/officeDocument/2006/relationships" name="Dashboard" sheetId="2" state="visible" r:id="rId2"/>
    <sheet xmlns:r="http://schemas.openxmlformats.org/officeDocument/2006/relationships" name="Current Week" sheetId="3" state="visible" r:id="rId3"/>
    <sheet xmlns:r="http://schemas.openxmlformats.org/officeDocument/2006/relationships" name="Run Archive" sheetId="4" state="visible" r:id="rId4"/>
    <sheet xmlns:r="http://schemas.openxmlformats.org/officeDocument/2006/relationships" name="Interval Detail" sheetId="5" state="visible" r:id="rId5"/>
    <sheet xmlns:r="http://schemas.openxmlformats.org/officeDocument/2006/relationships" name="Health" sheetId="6" state="visible" r:id="rId6"/>
    <sheet xmlns:r="http://schemas.openxmlformats.org/officeDocument/2006/relationships" name="Progress" sheetId="7" state="visible" r:id="rId7"/>
    <sheet xmlns:r="http://schemas.openxmlformats.org/officeDocument/2006/relationships" name="Milestones" sheetId="8" state="visible" r:id="rId8"/>
    <sheet xmlns:r="http://schemas.openxmlformats.org/officeDocument/2006/relationships" name="Gear" sheetId="9" state="visible" r:id="rId9"/>
    <sheet xmlns:r="http://schemas.openxmlformats.org/officeDocument/2006/relationships" name="Coach Journal" sheetId="10" state="visible" r:id="rId10"/>
    <sheet xmlns:r="http://schemas.openxmlformats.org/officeDocument/2006/relationships" name="Data Guide" sheetId="11" state="visible" r:id="rId11"/>
  </sheets>
  <definedNames/>
  <calcPr calcId="124519" fullCalcOnLoad="1"/>
</workbook>
</file>

<file path=xl/styles.xml><?xml version="1.0" encoding="utf-8"?>
<styleSheet xmlns="http://schemas.openxmlformats.org/spreadsheetml/2006/main">
  <numFmts count="3">
    <numFmt numFmtId="164" formatCode="DD MMM"/>
    <numFmt numFmtId="165" formatCode="yyyy-mm-dd h:mm:ss"/>
    <numFmt numFmtId="166" formatCode="dd mmm yyyy"/>
  </numFmts>
  <fonts count="5">
    <font>
      <name val="Calibri"/>
      <family val="2"/>
      <color theme="1"/>
      <sz val="11"/>
      <scheme val="minor"/>
    </font>
    <font>
      <b val="1"/>
      <sz val="14"/>
    </font>
    <font/>
    <font>
      <b val="1"/>
    </font>
    <font>
      <b val="1"/>
      <color rgb="00FFFFFF"/>
    </font>
  </fonts>
  <fills count="3">
    <fill>
      <patternFill/>
    </fill>
    <fill>
      <patternFill patternType="gray125"/>
    </fill>
    <fill>
      <patternFill patternType="solid">
        <fgColor rgb="001F2937"/>
        <bgColor rgb="001F2937"/>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164" fontId="0" fillId="0" borderId="0" pivotButton="0" quotePrefix="0" xfId="0"/>
    <xf numFmtId="0" fontId="4" fillId="2" borderId="0" pivotButton="0" quotePrefix="0" xfId="0"/>
    <xf numFmtId="165"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100" customWidth="1" min="2" max="2"/>
  </cols>
  <sheetData>
    <row r="1">
      <c r="A1" s="1" t="inlineStr">
        <is>
          <t>LONDON MARATHON 2027 — COACH BRIEF</t>
        </is>
      </c>
    </row>
    <row r="3">
      <c r="A3" s="2" t="inlineStr"/>
    </row>
    <row r="4">
      <c r="A4" s="2" t="inlineStr">
        <is>
          <t>Race</t>
        </is>
      </c>
      <c r="B4" t="inlineStr">
        <is>
          <t>London Marathon, Sunday 25 April 2027</t>
        </is>
      </c>
    </row>
    <row r="5">
      <c r="A5" s="2" t="inlineStr">
        <is>
          <t>Phase started</t>
        </is>
      </c>
      <c r="B5" t="inlineStr">
        <is>
          <t>3 August 2026 (Base Building)</t>
        </is>
      </c>
    </row>
    <row r="6">
      <c r="A6" s="2" t="inlineStr"/>
    </row>
    <row r="7">
      <c r="A7" s="3" t="inlineStr">
        <is>
          <t>ATHLETE</t>
        </is>
      </c>
    </row>
    <row r="8">
      <c r="A8" s="2" t="inlineStr">
        <is>
          <t>Name</t>
        </is>
      </c>
      <c r="B8" t="inlineStr">
        <is>
          <t>Joe</t>
        </is>
      </c>
    </row>
    <row r="9">
      <c r="A9" s="2" t="inlineStr">
        <is>
          <t>Age</t>
        </is>
      </c>
      <c r="B9" t="inlineStr">
        <is>
          <t>28</t>
        </is>
      </c>
    </row>
    <row r="10">
      <c r="A10" s="2" t="inlineStr">
        <is>
          <t>Height</t>
        </is>
      </c>
      <c r="B10" t="inlineStr">
        <is>
          <t>6'4" (193 cm)</t>
        </is>
      </c>
    </row>
    <row r="11">
      <c r="A11" s="2" t="inlineStr">
        <is>
          <t>Starting weight</t>
        </is>
      </c>
      <c r="B11" t="inlineStr">
        <is>
          <t>18 st 11 lb (119.3 kg) — 3 Aug 2026</t>
        </is>
      </c>
    </row>
    <row r="12">
      <c r="A12" s="2" t="inlineStr">
        <is>
          <t>Occupation</t>
        </is>
      </c>
      <c r="B12" t="inlineStr">
        <is>
          <t>Building Inspector (drives a lot, walks sites, climbs ladders)</t>
        </is>
      </c>
    </row>
    <row r="13">
      <c r="A13" s="2" t="inlineStr">
        <is>
          <t>Previous injuries</t>
        </is>
      </c>
      <c r="B13" t="inlineStr">
        <is>
          <t>None</t>
        </is>
      </c>
    </row>
    <row r="14">
      <c r="A14" s="2" t="inlineStr">
        <is>
          <t>Gym</t>
        </is>
      </c>
      <c r="B14" t="inlineStr">
        <is>
          <t>Doesn't currently go</t>
        </is>
      </c>
    </row>
    <row r="15">
      <c r="A15" s="2" t="inlineStr">
        <is>
          <t>Running experience</t>
        </is>
      </c>
      <c r="B15" t="inlineStr">
        <is>
          <t>Very little; a few 5Ks years ago</t>
        </is>
      </c>
    </row>
    <row r="16">
      <c r="A16" s="2" t="inlineStr">
        <is>
          <t>Biggest endurance achievement</t>
        </is>
      </c>
      <c r="B16" t="inlineStr">
        <is>
          <t>Walking marathon in Hoka Clifton 9s</t>
        </is>
      </c>
    </row>
    <row r="17">
      <c r="A17" s="2" t="inlineStr"/>
    </row>
    <row r="18">
      <c r="A18" s="3" t="inlineStr">
        <is>
          <t>EQUIPMENT</t>
        </is>
      </c>
    </row>
    <row r="19">
      <c r="A19" s="2" t="inlineStr">
        <is>
          <t>Watch</t>
        </is>
      </c>
      <c r="B19" t="inlineStr">
        <is>
          <t>Garmin Forerunner 255 Music</t>
        </is>
      </c>
    </row>
    <row r="20">
      <c r="A20" s="2" t="inlineStr">
        <is>
          <t>Apps</t>
        </is>
      </c>
      <c r="B20" t="inlineStr">
        <is>
          <t>Garmin Connect, Strava (Garmin auto-syncs every run to Strava)</t>
        </is>
      </c>
    </row>
    <row r="21">
      <c r="A21" s="2" t="inlineStr">
        <is>
          <t>Shoes</t>
        </is>
      </c>
      <c r="B21" t="inlineStr">
        <is>
          <t>Hoka Clifton 9</t>
        </is>
      </c>
    </row>
    <row r="22">
      <c r="A22" s="2" t="inlineStr"/>
    </row>
    <row r="23">
      <c r="A23" s="2" t="inlineStr">
        <is>
          <t>DATA SOURCES (updated Aug 2026)</t>
        </is>
      </c>
    </row>
    <row r="24">
      <c r="A24" s="2" t="inlineStr">
        <is>
          <t>Primary — run metrics</t>
        </is>
      </c>
      <c r="B24" t="inlineStr">
        <is>
          <t>Strava connector, auto-pulled: pace, HR, splits/laps, cadence, elevation, calories.</t>
        </is>
      </c>
    </row>
    <row r="25">
      <c r="A25" s="2" t="inlineStr">
        <is>
          <t>Gap — wellness metrics</t>
        </is>
      </c>
      <c r="B25" t="inlineStr">
        <is>
          <t>Sleep score, Body Battery, resting HR trend, VO2max live only in Garmin Connect, which has no connector. Fill via Apple Health on iOS or weekly manual entry on the Health tab.</t>
        </is>
      </c>
    </row>
    <row r="26">
      <c r="A26" s="2" t="inlineStr">
        <is>
          <t>Manual — every run</t>
        </is>
      </c>
      <c r="B26" t="inlineStr">
        <is>
          <t>RPE, pain/niggles, anything unusual. Joe reports this in chat; everything else is extracted automatically.</t>
        </is>
      </c>
    </row>
    <row r="27">
      <c r="A27" s="2" t="inlineStr"/>
    </row>
    <row r="28">
      <c r="A28" s="2" t="inlineStr">
        <is>
          <t>COACHING PHILOSOPHY — priority order</t>
        </is>
      </c>
    </row>
    <row r="29">
      <c r="A29" s="3" t="inlineStr">
        <is>
          <t>1</t>
        </is>
      </c>
      <c r="B29" t="inlineStr">
        <is>
          <t>Stay injury free</t>
        </is>
      </c>
    </row>
    <row r="30">
      <c r="A30" s="3" t="inlineStr">
        <is>
          <t>2</t>
        </is>
      </c>
      <c r="B30" t="inlineStr">
        <is>
          <t>Build consistency</t>
        </is>
      </c>
    </row>
    <row r="31">
      <c r="A31" s="3" t="inlineStr">
        <is>
          <t>3</t>
        </is>
      </c>
      <c r="B31" t="inlineStr">
        <is>
          <t>Lose weight gradually</t>
        </is>
      </c>
    </row>
    <row r="32">
      <c r="A32" s="3" t="inlineStr">
        <is>
          <t>4</t>
        </is>
      </c>
      <c r="B32" t="inlineStr">
        <is>
          <t>Improve aerobic fitness</t>
        </is>
      </c>
    </row>
    <row r="33">
      <c r="A33" s="3" t="inlineStr">
        <is>
          <t>5</t>
        </is>
      </c>
      <c r="B33" t="inlineStr">
        <is>
          <t>Complete London Marathon strongly</t>
        </is>
      </c>
    </row>
    <row r="34">
      <c r="A34" s="3" t="inlineStr">
        <is>
          <t>Rule</t>
        </is>
      </c>
      <c r="B34" t="inlineStr">
        <is>
          <t>Never sacrifice injury prevention to progress faster. If in doubt, slow down.</t>
        </is>
      </c>
    </row>
    <row r="35">
      <c r="A35" s="2" t="inlineStr"/>
    </row>
    <row r="36">
      <c r="A36" s="3" t="inlineStr">
        <is>
          <t>COMMUNICATION STYLE</t>
        </is>
      </c>
    </row>
    <row r="37">
      <c r="A37" s="2" t="inlineStr">
        <is>
          <t>Preference</t>
        </is>
      </c>
      <c r="B37" t="inlineStr">
        <is>
          <t>Honest, evidence-based feedback: pace, HR, trends, comparisons. No generic motivational filler.</t>
        </is>
      </c>
    </row>
    <row r="38">
      <c r="A38" s="2" t="inlineStr">
        <is>
          <t>Every run</t>
        </is>
      </c>
      <c r="B38" t="inlineStr">
        <is>
          <t>Analyse pace, HR, workout structure, weather, RPE, pain, shoe feedback, then decide: repeat or progress, based on recovery not a rigid plan.</t>
        </is>
      </c>
    </row>
    <row r="39">
      <c r="A39" s="2" t="inlineStr"/>
    </row>
    <row r="40">
      <c r="A40" s="3" t="inlineStr">
        <is>
          <t>RUN NUMBERING</t>
        </is>
      </c>
      <c r="B40" t="inlineStr">
        <is>
          <t>Permanent IDs R001, R002... never reused or renumbered. Coach refers to runs by ID.</t>
        </is>
      </c>
    </row>
    <row r="41">
      <c r="A41" s="2" t="inlineStr"/>
    </row>
    <row r="42">
      <c r="A42" s="3" t="inlineStr">
        <is>
          <t>CURRENT CONCERN</t>
        </is>
      </c>
      <c r="B42" t="inlineStr">
        <is>
          <t>Possible early shin splints (first appeared R002, mins 22-25). Do not progress running volume/intensity until pain is absent during walking and normal daily life.</t>
        </is>
      </c>
    </row>
    <row r="44">
      <c r="A44" s="3" t="inlineStr">
        <is>
          <t>Weigh-in day</t>
        </is>
      </c>
      <c r="B44" t="inlineStr">
        <is>
          <t>Wednesday mornings — first thing after waking, before food/drink, minimal clothing, same scale.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40" customWidth="1" min="1" max="1"/>
    <col width="14" customWidth="1" min="2" max="2"/>
    <col width="20" customWidth="1" min="3" max="3"/>
    <col width="14" customWidth="1" min="4" max="4"/>
    <col width="20" customWidth="1" min="5" max="5"/>
    <col width="14" customWidth="1" min="6" max="6"/>
  </cols>
  <sheetData>
    <row r="1">
      <c r="A1" s="1" t="inlineStr">
        <is>
          <t>PROJECT LONDON 2027</t>
        </is>
      </c>
    </row>
    <row r="4">
      <c r="A4" s="3" t="inlineStr">
        <is>
          <t>MARATHON COUNTDOWN</t>
        </is>
      </c>
      <c r="D4" s="3" t="inlineStr">
        <is>
          <t>TRAINING PHASE</t>
        </is>
      </c>
    </row>
    <row r="5">
      <c r="A5">
        <f>MAX(0,DATE(2027,4,25)-TODAY())&amp;" days"</f>
        <v/>
      </c>
      <c r="D5" t="inlineStr">
        <is>
          <t>Base Building</t>
        </is>
      </c>
    </row>
    <row r="9">
      <c r="A9" s="3" t="inlineStr">
        <is>
          <t>RUNS</t>
        </is>
      </c>
      <c r="C9" s="3" t="inlineStr">
        <is>
          <t>TOTAL KM</t>
        </is>
      </c>
      <c r="E9" s="3" t="inlineStr">
        <is>
          <t>LONGEST</t>
        </is>
      </c>
    </row>
    <row r="10">
      <c r="A10" s="11">
        <f>COUNTA('Run Archive'!A2:A500)</f>
        <v/>
      </c>
      <c r="C10" s="11">
        <f>ROUND(SUM('Run Archive'!G2:G500),2)</f>
        <v/>
      </c>
      <c r="E10" s="11">
        <f>IFERROR(ROUND(MAX('Run Archive'!G2:G500),2),0)</f>
        <v/>
      </c>
    </row>
    <row r="12">
      <c r="A12" s="3" t="inlineStr">
        <is>
          <t>WEIGHT</t>
        </is>
      </c>
      <c r="C12" s="3" t="inlineStr">
        <is>
          <t>AVG HR</t>
        </is>
      </c>
      <c r="E12" s="3" t="inlineStr">
        <is>
          <t>CONSISTENCY</t>
        </is>
      </c>
    </row>
    <row r="13">
      <c r="A13" s="11">
        <f>IFERROR(INT(LOOKUP(2,1/(Health!B5:B200&lt;&gt;""),Health!B5:B200))&amp;" st "&amp;ROUND(MOD(LOOKUP(2,1/(Health!B5:B200&lt;&gt;""),Health!B5:B200),1)*14,0)&amp;" lb","—")</f>
        <v/>
      </c>
      <c r="C13" s="11">
        <f>IFERROR(ROUND(AVERAGE('Run Archive'!J2:J500),0)&amp;" bpm","—")</f>
        <v/>
      </c>
      <c r="E13" s="11">
        <f>IFERROR(TEXT(COUNTIF('Current Week'!H5:H11,"Completed")/COUNTIFS('Current Week'!B5:B11,"&lt;="&amp;TODAY(),'Current Week'!H5:H11,"&lt;&gt;"),"0%"),"—")</f>
        <v/>
      </c>
    </row>
    <row r="16">
      <c r="A16" s="3" t="inlineStr">
        <is>
          <t>WEIGHT LOST SINCE START</t>
        </is>
      </c>
    </row>
    <row r="17">
      <c r="A17" s="11">
        <f>IFERROR(ROUND(Health!B5-LOOKUP(2,1/(Health!B5:B200&lt;&gt;""),Health!B5:B200),2)&amp;" st lost","—")</f>
        <v/>
      </c>
    </row>
    <row r="20">
      <c r="A20" s="3" t="inlineStr">
        <is>
          <t>SHOE MILEAGE (Hoka Clifton 9)</t>
        </is>
      </c>
    </row>
    <row r="21">
      <c r="A21" s="11">
        <f>ROUND(SUMIFS('Run Archive'!G:G,'Run Archive'!T:T,"Hoka Clifton 9"),2)&amp;" km"</f>
        <v/>
      </c>
    </row>
    <row r="24">
      <c r="A24" s="3" t="inlineStr">
        <is>
          <t>NEXT WORKOUT</t>
        </is>
      </c>
    </row>
    <row r="25">
      <c r="A25">
        <f>IFERROR(INDEX('Current Week'!D5:D11,MATCH(_xlfn.MINIFS('Current Week'!B5:B11,'Current Week'!H5:H11,"Planned",'Current Week'!B5:B11,"&gt;="&amp;TODAY()),'Current Week'!B5:B11,0))&amp;" — "&amp;INDEX('Current Week'!E5:E11,MATCH(_xlfn.MINIFS('Current Week'!B5:B11,'Current Week'!H5:H11,"Planned",'Current Week'!B5:B11,"&gt;="&amp;TODAY()),'Current Week'!B5:B11,0)),"See Current Week tab")</f>
        <v/>
      </c>
    </row>
    <row r="29">
      <c r="A29" s="3" t="inlineStr">
        <is>
          <t>COACH STATUS</t>
        </is>
      </c>
    </row>
    <row r="30" ht="60" customHeight="1">
      <c r="A30" s="4">
        <f>IFERROR(INDEX('Run Archive'!Z:Z,COUNTA('Run Archive'!A:A)),"")</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showGridLines="0" workbookViewId="0">
      <selection activeCell="A1" sqref="A1"/>
    </sheetView>
  </sheetViews>
  <sheetFormatPr baseColWidth="8" defaultRowHeight="15"/>
  <cols>
    <col width="7" customWidth="1" min="1" max="1"/>
    <col width="14" customWidth="1" style="8" min="2" max="2"/>
    <col width="12" customWidth="1" min="3" max="3"/>
    <col width="18" customWidth="1" min="4" max="4"/>
    <col width="45" customWidth="1" min="5" max="5"/>
    <col width="14" customWidth="1" min="6" max="6"/>
    <col width="45" customWidth="1" min="7" max="7"/>
    <col width="12" customWidth="1" min="8" max="8"/>
  </cols>
  <sheetData>
    <row r="1">
      <c r="A1" s="1" t="inlineStr">
        <is>
          <t>WEEK 1 • 3–9 AUGUST 2026</t>
        </is>
      </c>
    </row>
    <row r="3">
      <c r="A3" t="inlineStr">
        <is>
          <t>Goal: establish a safe baseline and finish every run with something left in reserve.</t>
        </is>
      </c>
    </row>
    <row r="4">
      <c r="A4" s="6" t="inlineStr">
        <is>
          <t>Day</t>
        </is>
      </c>
      <c r="B4" s="6" t="inlineStr">
        <is>
          <t>Date</t>
        </is>
      </c>
      <c r="C4" s="6" t="inlineStr">
        <is>
          <t>Type</t>
        </is>
      </c>
      <c r="D4" s="6" t="inlineStr">
        <is>
          <t>Session</t>
        </is>
      </c>
      <c r="E4" s="6" t="inlineStr">
        <is>
          <t>Workout Details</t>
        </is>
      </c>
      <c r="F4" s="6" t="inlineStr">
        <is>
          <t>Target</t>
        </is>
      </c>
      <c r="G4" s="6" t="inlineStr">
        <is>
          <t>Notes</t>
        </is>
      </c>
      <c r="H4" s="6" t="inlineStr">
        <is>
          <t>Status</t>
        </is>
      </c>
    </row>
    <row r="5">
      <c r="A5" t="inlineStr">
        <is>
          <t>Mon</t>
        </is>
      </c>
      <c r="B5" s="10" t="n">
        <v>46237</v>
      </c>
      <c r="C5" t="inlineStr">
        <is>
          <t>Run/Walk</t>
        </is>
      </c>
      <c r="D5" t="inlineStr">
        <is>
          <t>R001</t>
        </is>
      </c>
      <c r="E5" t="inlineStr">
        <is>
          <t>5 min walk + 8 × (2 min run / 2 min walk) + 5 min walk</t>
        </is>
      </c>
      <c r="F5" t="inlineStr">
        <is>
          <t>RPE 3–4</t>
        </is>
      </c>
      <c r="G5" t="inlineStr">
        <is>
          <t>Completed at RPE 5; breathing settled.</t>
        </is>
      </c>
      <c r="H5" t="inlineStr">
        <is>
          <t>Completed</t>
        </is>
      </c>
    </row>
    <row r="6">
      <c r="A6" t="inlineStr">
        <is>
          <t>Tue</t>
        </is>
      </c>
      <c r="B6" s="10" t="n">
        <v>46238</v>
      </c>
      <c r="C6" t="inlineStr">
        <is>
          <t>Rest</t>
        </is>
      </c>
      <c r="D6" t="inlineStr">
        <is>
          <t>Recovery</t>
        </is>
      </c>
      <c r="E6" t="inlineStr">
        <is>
          <t>Normal daily movement only</t>
        </is>
      </c>
      <c r="F6" t="inlineStr">
        <is>
          <t>Easy</t>
        </is>
      </c>
      <c r="G6" t="inlineStr">
        <is>
          <t>Monitor calves, Achilles, knees and feet.</t>
        </is>
      </c>
      <c r="H6" t="inlineStr">
        <is>
          <t>Planned</t>
        </is>
      </c>
    </row>
    <row r="7">
      <c r="A7" t="inlineStr">
        <is>
          <t>Wed</t>
        </is>
      </c>
      <c r="B7" s="10" t="n">
        <v>46239</v>
      </c>
      <c r="C7" t="inlineStr">
        <is>
          <t>Run/Walk</t>
        </is>
      </c>
      <c r="D7" t="inlineStr">
        <is>
          <t>R002</t>
        </is>
      </c>
      <c r="E7" t="inlineStr">
        <is>
          <t>5 min walk + 8 × (2 min run / 2 min walk) + 5 min walk</t>
        </is>
      </c>
      <c r="F7" t="inlineStr">
        <is>
          <t>RPE 3–4</t>
        </is>
      </c>
      <c r="G7" t="inlineStr">
        <is>
          <t>R002 complete. Shin pain at 22–25 min; strongest final interval.</t>
        </is>
      </c>
      <c r="H7" t="inlineStr">
        <is>
          <t>Completed</t>
        </is>
      </c>
    </row>
    <row r="8">
      <c r="A8" t="inlineStr">
        <is>
          <t>Thu</t>
        </is>
      </c>
      <c r="B8" s="10" t="n">
        <v>46240</v>
      </c>
      <c r="C8" t="inlineStr">
        <is>
          <t>Travel</t>
        </is>
      </c>
      <c r="D8" t="inlineStr">
        <is>
          <t>250-mile drive</t>
        </is>
      </c>
      <c r="E8" t="inlineStr">
        <is>
          <t>No formal training</t>
        </is>
      </c>
      <c r="F8" t="inlineStr">
        <is>
          <t>Recovery</t>
        </is>
      </c>
      <c r="G8" t="inlineStr">
        <is>
          <t>Short walk and mobility after driving.</t>
        </is>
      </c>
      <c r="H8" t="inlineStr">
        <is>
          <t>Planned</t>
        </is>
      </c>
    </row>
    <row r="9">
      <c r="A9" t="inlineStr">
        <is>
          <t>Fri</t>
        </is>
      </c>
      <c r="B9" s="10" t="n">
        <v>46241</v>
      </c>
      <c r="C9" t="inlineStr">
        <is>
          <t>Rest/Walk</t>
        </is>
      </c>
      <c r="D9" t="inlineStr">
        <is>
          <t>Easy recovery</t>
        </is>
      </c>
      <c r="E9" t="inlineStr">
        <is>
          <t>Optional 20–30 min relaxed walk</t>
        </is>
      </c>
      <c r="F9" t="inlineStr">
        <is>
          <t>RPE 2</t>
        </is>
      </c>
      <c r="G9" t="inlineStr">
        <is>
          <t>At parents' house.</t>
        </is>
      </c>
      <c r="H9" t="inlineStr">
        <is>
          <t>Planned</t>
        </is>
      </c>
    </row>
    <row r="10">
      <c r="A10" t="inlineStr">
        <is>
          <t>Sat</t>
        </is>
      </c>
      <c r="B10" s="10" t="n">
        <v>46242</v>
      </c>
      <c r="C10" t="inlineStr">
        <is>
          <t>Walk</t>
        </is>
      </c>
      <c r="D10" t="inlineStr">
        <is>
          <t>Aerobic walk</t>
        </is>
      </c>
      <c r="E10" t="inlineStr">
        <is>
          <t>45–60 min comfortable brisk walk</t>
        </is>
      </c>
      <c r="F10" t="inlineStr">
        <is>
          <t>RPE 3</t>
        </is>
      </c>
      <c r="G10" t="inlineStr">
        <is>
          <t>No parkrun yet; build to continuous 5K first.</t>
        </is>
      </c>
      <c r="H10" t="inlineStr">
        <is>
          <t>Planned</t>
        </is>
      </c>
    </row>
    <row r="11">
      <c r="A11" t="inlineStr">
        <is>
          <t>Sun</t>
        </is>
      </c>
      <c r="B11" s="10" t="n">
        <v>46243</v>
      </c>
      <c r="C11" t="inlineStr">
        <is>
          <t>Run/Walk</t>
        </is>
      </c>
      <c r="D11" t="inlineStr">
        <is>
          <t>Provisional R003</t>
        </is>
      </c>
      <c r="E11" t="inlineStr">
        <is>
          <t>Repeat 2:2 × 8 only if shins pain-free in daily life</t>
        </is>
      </c>
      <c r="F11" t="inlineStr">
        <is>
          <t>RPE 3–4</t>
        </is>
      </c>
      <c r="G11" t="inlineStr">
        <is>
          <t>R003 complete. RPE 6, HR elevated (heat/dehydration/alcohol), shin pain present but reduced vs R002.</t>
        </is>
      </c>
      <c r="H11" t="inlineStr">
        <is>
          <t>Completed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14" customWidth="1" min="3" max="3"/>
    <col width="12" customWidth="1" min="4" max="4"/>
    <col width="45" customWidth="1" min="5" max="5"/>
    <col width="22" customWidth="1" min="6" max="6"/>
    <col width="11" customWidth="1" min="7" max="7"/>
    <col width="10" customWidth="1" min="8" max="8"/>
    <col width="11" customWidth="1" min="9" max="9"/>
    <col width="9" customWidth="1" min="10" max="10"/>
    <col width="9" customWidth="1" min="11" max="11"/>
    <col width="11" customWidth="1" min="12" max="12"/>
    <col width="9" customWidth="1" min="13" max="13"/>
    <col width="9" customWidth="1" min="14" max="14"/>
    <col width="6" customWidth="1" min="15" max="15"/>
    <col width="6" customWidth="1" min="16" max="16"/>
    <col width="10" customWidth="1" min="17" max="17"/>
    <col width="9" customWidth="1" min="18" max="18"/>
    <col width="10" customWidth="1" min="19" max="19"/>
    <col width="15" customWidth="1" min="20" max="20"/>
    <col width="45" customWidth="1" min="21" max="21"/>
    <col width="35" customWidth="1" min="22" max="22"/>
    <col width="35" customWidth="1" min="23" max="23"/>
    <col width="40" customWidth="1" min="24" max="24"/>
    <col width="55" customWidth="1" min="25" max="25"/>
    <col width="55" customWidth="1" min="26" max="26"/>
    <col width="40" customWidth="1" min="27" max="27"/>
    <col width="16" customWidth="1" min="28" max="28"/>
    <col width="28" customWidth="1" min="29" max="29"/>
    <col width="20" customWidth="1" min="30" max="30"/>
  </cols>
  <sheetData>
    <row r="1">
      <c r="A1" s="6" t="inlineStr">
        <is>
          <t>Run ID</t>
        </is>
      </c>
      <c r="B1" s="6" t="inlineStr">
        <is>
          <t>Date</t>
        </is>
      </c>
      <c r="C1" s="6" t="inlineStr">
        <is>
          <t>Week Start</t>
        </is>
      </c>
      <c r="D1" s="6" t="inlineStr">
        <is>
          <t>Session Type</t>
        </is>
      </c>
      <c r="E1" s="6" t="inlineStr">
        <is>
          <t>Workout Structure</t>
        </is>
      </c>
      <c r="F1" s="6" t="inlineStr">
        <is>
          <t>Activity Name</t>
        </is>
      </c>
      <c r="G1" s="6" t="inlineStr">
        <is>
          <t>Distance (km)</t>
        </is>
      </c>
      <c r="H1" s="6" t="inlineStr">
        <is>
          <t>Moving Time</t>
        </is>
      </c>
      <c r="I1" s="6" t="inlineStr">
        <is>
          <t>Avg Pace (/km)</t>
        </is>
      </c>
      <c r="J1" s="6" t="inlineStr">
        <is>
          <t>Avg HR</t>
        </is>
      </c>
      <c r="K1" s="6" t="inlineStr">
        <is>
          <t>Max HR</t>
        </is>
      </c>
      <c r="L1" s="6" t="inlineStr">
        <is>
          <t>Elevation (m)</t>
        </is>
      </c>
      <c r="M1" s="6" t="inlineStr">
        <is>
          <t>Calories</t>
        </is>
      </c>
      <c r="N1" s="6" t="inlineStr">
        <is>
          <t>Cadence</t>
        </is>
      </c>
      <c r="O1" s="6" t="inlineStr">
        <is>
          <t>RPE</t>
        </is>
      </c>
      <c r="P1" s="6" t="inlineStr">
        <is>
          <t>Pain</t>
        </is>
      </c>
      <c r="Q1" s="6" t="inlineStr">
        <is>
          <t>Sleep Score</t>
        </is>
      </c>
      <c r="R1" s="6" t="inlineStr">
        <is>
          <t>Sleep (hrs)</t>
        </is>
      </c>
      <c r="S1" s="6" t="inlineStr">
        <is>
          <t>Weight (st)</t>
        </is>
      </c>
      <c r="T1" s="6" t="inlineStr">
        <is>
          <t>Shoes</t>
        </is>
      </c>
      <c r="U1" s="6" t="inlineStr">
        <is>
          <t>Weather/Context</t>
        </is>
      </c>
      <c r="V1" s="6" t="inlineStr">
        <is>
          <t>Breathing</t>
        </is>
      </c>
      <c r="W1" s="6" t="inlineStr">
        <is>
          <t>Shoe Feedback</t>
        </is>
      </c>
      <c r="X1" s="6" t="inlineStr">
        <is>
          <t>Body Feedback</t>
        </is>
      </c>
      <c r="Y1" s="6" t="inlineStr">
        <is>
          <t>Coach Analysis</t>
        </is>
      </c>
      <c r="Z1" s="6" t="inlineStr">
        <is>
          <t>Coach Decision</t>
        </is>
      </c>
      <c r="AA1" s="6" t="inlineStr">
        <is>
          <t>Next Workout</t>
        </is>
      </c>
      <c r="AB1" s="6" t="inlineStr">
        <is>
          <t>Strava Activity ID</t>
        </is>
      </c>
      <c r="AC1" s="6" t="inlineStr">
        <is>
          <t>Source</t>
        </is>
      </c>
      <c r="AD1" s="6" t="inlineStr">
        <is>
          <t>Elapsed Time (Strava)</t>
        </is>
      </c>
    </row>
    <row r="2">
      <c r="A2" t="inlineStr">
        <is>
          <t>R001</t>
        </is>
      </c>
      <c r="B2" s="10" t="n">
        <v>46237</v>
      </c>
      <c r="C2" s="10" t="n">
        <v>46237</v>
      </c>
      <c r="D2" t="inlineStr">
        <is>
          <t>Run/Walk</t>
        </is>
      </c>
      <c r="E2" t="inlineStr">
        <is>
          <t>5 min warm-up walk + 8 × (2 min run / 2 min walk) + 5 min cool-down walk</t>
        </is>
      </c>
      <c r="F2" t="inlineStr">
        <is>
          <t>South Ribble - 2x2 8 times</t>
        </is>
      </c>
      <c r="G2" t="n">
        <v>3.92</v>
      </c>
      <c r="H2" t="inlineStr">
        <is>
          <t>00:38:08</t>
        </is>
      </c>
      <c r="I2" t="inlineStr">
        <is>
          <t>00:09:43</t>
        </is>
      </c>
      <c r="J2" t="n">
        <v>132</v>
      </c>
      <c r="K2" t="n">
        <v>175</v>
      </c>
      <c r="L2" t="n">
        <v>31</v>
      </c>
      <c r="M2" t="n">
        <v>431</v>
      </c>
      <c r="O2" t="n">
        <v>5</v>
      </c>
      <c r="P2" t="n">
        <v>0</v>
      </c>
      <c r="S2" t="n">
        <v>18.7857</v>
      </c>
      <c r="T2" t="inlineStr">
        <is>
          <t>Hoka Clifton 9</t>
        </is>
      </c>
      <c r="U2" t="inlineStr">
        <is>
          <t>South Ribble; lunch run; sunny/partly cloudy; about 21–22°C; wind visible on Garmin</t>
        </is>
      </c>
      <c r="V2" t="inlineStr">
        <is>
          <t>Out of breath early, then settled and grew into the workout</t>
        </is>
      </c>
      <c r="W2" t="inlineStr">
        <is>
          <t>Shoes felt okay; heels seemed to roll inward slightly</t>
        </is>
      </c>
      <c r="X2" t="inlineStr">
        <is>
          <t>Could have completed another couple of intervals, probably at a slower pace</t>
        </is>
      </c>
      <c r="Y2" t="inlineStr">
        <is>
          <t>Controlled first session. The final running interval was the fastest, showing a sensible build rather than an early blow-up.</t>
        </is>
      </c>
      <c r="Z2" t="inlineStr">
        <is>
          <t>Repeat the same run/walk session. Monitor heel stability and next-day soreness.</t>
        </is>
      </c>
      <c r="AA2" t="inlineStr">
        <is>
          <t>R002: repeat 2 min run / 2 min walk × 8</t>
        </is>
      </c>
      <c r="AB2" t="inlineStr">
        <is>
          <t>19580879818</t>
        </is>
      </c>
      <c r="AC2" t="inlineStr">
        <is>
          <t>Strava (auto) + Joe (RPE/pain/notes)</t>
        </is>
      </c>
      <c r="AD2" t="inlineStr">
        <is>
          <t>00:40:01</t>
        </is>
      </c>
    </row>
    <row r="3">
      <c r="A3" t="inlineStr">
        <is>
          <t>R002</t>
        </is>
      </c>
      <c r="B3" s="10" t="n">
        <v>46239</v>
      </c>
      <c r="C3" s="10" t="n">
        <v>46237</v>
      </c>
      <c r="D3" t="inlineStr">
        <is>
          <t>Run/Walk</t>
        </is>
      </c>
      <c r="E3" t="inlineStr">
        <is>
          <t>5 min warm-up walk + 8 × (2 min run / 2 min walk) + 5 min cool-down walk</t>
        </is>
      </c>
      <c r="F3" t="inlineStr">
        <is>
          <t>South Ribble - 2x2 8 times</t>
        </is>
      </c>
      <c r="G3" t="n">
        <v>4.11</v>
      </c>
      <c r="H3" t="inlineStr">
        <is>
          <t>00:39:05</t>
        </is>
      </c>
      <c r="I3" t="inlineStr">
        <is>
          <t>00:09:30</t>
        </is>
      </c>
      <c r="J3" t="n">
        <v>128</v>
      </c>
      <c r="K3" t="n">
        <v>170</v>
      </c>
      <c r="L3" t="n">
        <v>39</v>
      </c>
      <c r="M3" t="n">
        <v>427</v>
      </c>
      <c r="O3" t="n">
        <v>6</v>
      </c>
      <c r="S3" t="n">
        <v>18.7857</v>
      </c>
      <c r="T3" t="inlineStr">
        <is>
          <t>Hoka Clifton 9</t>
        </is>
      </c>
      <c r="U3" t="inlineStr">
        <is>
          <t>South Ribble; morning run; windy; 16°C, feels 11°C; humidity 79%; WSW wind 28.8 km/h</t>
        </is>
      </c>
      <c r="V3" t="inlineStr">
        <is>
          <t>Felt strongest on the final 2-minute run</t>
        </is>
      </c>
      <c r="W3" t="inlineStr">
        <is>
          <t>No new shoe discomfort reported</t>
        </is>
      </c>
      <c r="X3" t="inlineStr">
        <is>
          <t>Body otherwise felt fine; shin pain appeared around minutes 22–25</t>
        </is>
      </c>
      <c r="Y3" t="inlineStr">
        <is>
          <t>Clear efficiency improvement vs R001: 0.19 km farther, 13 sec/km faster and 4 bpm lower average HR over essentially identical elapsed time. The shin pain is the limiting factor, not aerobic effort.</t>
        </is>
      </c>
      <c r="Z3" t="inlineStr">
        <is>
          <t>Do not progress automatically. Reassess shins over 24–48 hours; progress only if walking and daily activity are pain-free.</t>
        </is>
      </c>
      <c r="AA3" t="inlineStr">
        <is>
          <t>Recovery / travel-day plan until shin response is known</t>
        </is>
      </c>
      <c r="AB3" t="inlineStr">
        <is>
          <t>19610247354</t>
        </is>
      </c>
      <c r="AC3" t="inlineStr">
        <is>
          <t>Strava (auto) + Joe (RPE/pain/notes)</t>
        </is>
      </c>
      <c r="AD3" t="inlineStr">
        <is>
          <t>00:40:00</t>
        </is>
      </c>
    </row>
    <row r="4">
      <c r="A4" t="inlineStr">
        <is>
          <t>R003</t>
        </is>
      </c>
      <c r="B4" s="9" t="n">
        <v>46243</v>
      </c>
      <c r="C4" s="9" t="n">
        <v>46237</v>
      </c>
      <c r="D4" t="inlineStr">
        <is>
          <t>Run/Walk</t>
        </is>
      </c>
      <c r="E4" t="inlineStr">
        <is>
          <t>5 min warm-up walk + 8 x (2 min run / 2 min walk) + 5 min cool-down walk</t>
        </is>
      </c>
      <c r="F4" t="inlineStr">
        <is>
          <t>Evening Run</t>
        </is>
      </c>
      <c r="G4" t="n">
        <v>4.0851</v>
      </c>
      <c r="H4" t="inlineStr">
        <is>
          <t>00:39:39</t>
        </is>
      </c>
      <c r="I4" t="inlineStr">
        <is>
          <t>00:09:42</t>
        </is>
      </c>
      <c r="J4" t="n">
        <v>137</v>
      </c>
      <c r="K4" t="n">
        <v>170</v>
      </c>
      <c r="L4" t="n">
        <v>23</v>
      </c>
      <c r="M4" t="n">
        <v>449</v>
      </c>
      <c r="O4" t="n">
        <v>6</v>
      </c>
      <c r="P4" t="inlineStr">
        <is>
          <t>Some, less than R002 - heavy legs/shins, not overly painful</t>
        </is>
      </c>
      <c r="T4" t="inlineStr">
        <is>
          <t>Hoka Clifton 9</t>
        </is>
      </c>
      <c r="U4" t="inlineStr">
        <is>
          <t>Evening run, ~28C, delayed from earlier due to heat; weekend of alcohol/food beforehand</t>
        </is>
      </c>
      <c r="W4" t="inlineStr">
        <is>
          <t>No new shoe discomfort reported</t>
        </is>
      </c>
      <c r="X4" t="inlineStr">
        <is>
          <t>Heavy legs generally; shin discomfort present but reduced vs R002</t>
        </is>
      </c>
      <c r="Y4" t="inlineStr">
        <is>
          <t>Pace essentially matched R001 (9:42 vs 9:43/km) and was 12 sec/km slower than R002, but avg HR was notably higher than both (137 vs 132 R001, 128 R002) despite less elevation gain (23m) than either prior run. Lap data shows HR climbing steadily through the session without recovering during walk intervals later on - consistent with heat and dehydration (alcohol + ~28C evening run) rather than a fitness or injury regression. Shin pain present but reduced from R002, a genuine improving trend. CORRECTION: Garmin sleep data shows the poor-sleep night (score 37, HRV 21, REM 3.4%) was actually two nights before R003 (7-8 Aug), not the night immediately before as first stated. No sleep record exists for the night directly before R003 (8-9 Aug). The two-nights-prior disruption, alongside the athlete's own report of a weekend of drinking, still supports cumulative dehydration/fatigue as context for the elevated HR, but this is weaker evidence than originally claimed.</t>
        </is>
      </c>
      <c r="Z4" t="inlineStr">
        <is>
          <t>Hold, not progress. Repeat identical structure for R004 (Wed 12 Aug). Continue monitoring shins in daily life through Tue; if pain has fully resolved by Wednesday, R004 proceeds as planned. If shin pain repeats at similar or worse level in R004, that is two of the last two sessions with unresolved pain and warrants recommending a physio assessment rather than continuing to self-manage.</t>
        </is>
      </c>
      <c r="AA4" t="inlineStr">
        <is>
          <t>R004: repeat 2 min run / 2 min walk x 8, Wed 12 Aug, contingent on continued shin improvement</t>
        </is>
      </c>
      <c r="AB4" t="inlineStr">
        <is>
          <t>19673665126</t>
        </is>
      </c>
      <c r="AC4" t="inlineStr">
        <is>
          <t>Strava (auto) + Joe (RPE/pain/notes)</t>
        </is>
      </c>
      <c r="AD4" t="inlineStr">
        <is>
          <t>00:40:00</t>
        </is>
      </c>
    </row>
    <row r="5">
      <c r="A5" t="inlineStr">
        <is>
          <t>R004</t>
        </is>
      </c>
      <c r="B5" s="9" t="n">
        <v>46246.42375</v>
      </c>
      <c r="C5" s="9" t="n">
        <v>46244</v>
      </c>
      <c r="D5" t="inlineStr">
        <is>
          <t>Run/Walk</t>
        </is>
      </c>
      <c r="E5" t="inlineStr">
        <is>
          <t>5 min warm-up walk + 8 x (2 min run / 2 min walk) + 5 min cool-down walk (Garmin-scheduled workout ran final recovery interval AND a separate cooldown back-to-back - flagged by Joe, fixed for R005 onward: cooldown set to 0 min so the last recovery walk is the finish, matching how he does it manually)</t>
        </is>
      </c>
      <c r="F5" t="inlineStr">
        <is>
          <t>Morning Run</t>
        </is>
      </c>
      <c r="G5" t="n">
        <v>4.1699</v>
      </c>
      <c r="H5" t="inlineStr">
        <is>
          <t>00:40:47</t>
        </is>
      </c>
      <c r="I5" t="inlineStr">
        <is>
          <t>00:09:47</t>
        </is>
      </c>
      <c r="J5" t="n">
        <v>135</v>
      </c>
      <c r="K5" t="n">
        <v>177</v>
      </c>
      <c r="L5" t="n">
        <v>31</v>
      </c>
      <c r="M5" t="n">
        <v>448</v>
      </c>
      <c r="O5" t="n">
        <v>5</v>
      </c>
      <c r="P5" t="inlineStr">
        <is>
          <t>Minor discomfort lasting a couple of minutes, resolved, then good recovery - finished strong</t>
        </is>
      </c>
      <c r="Q5" t="n">
        <v>80</v>
      </c>
      <c r="R5" t="n">
        <v>6.9</v>
      </c>
      <c r="S5" t="n">
        <v>18.7571</v>
      </c>
      <c r="T5" t="inlineStr">
        <is>
          <t>Hoka Clifton 9</t>
        </is>
      </c>
      <c r="U5" t="inlineStr">
        <is>
          <t>Late morning run, no heat or travel factors. Joe reported a heavy dinner the night before.</t>
        </is>
      </c>
      <c r="W5" t="inlineStr">
        <is>
          <t>No new shoe discomfort reported</t>
        </is>
      </c>
      <c r="X5" t="inlineStr">
        <is>
          <t>Little to no shin pain, felt strong through the finish - farthest session yet</t>
        </is>
      </c>
      <c r="Y5" t="inlineStr">
        <is>
          <t>Farthest session yet (4.17 km vs previous best 4.11 km, R002), avg HR 135 - a genuinely stronger reading than R003's heat-elevated 137, since today had no heat factor. Pace (9:47/km) essentially matches R003 (9:42/km) and R002 (9:44/km). Lap data (Strava) shows the warmup lap averaged 95 bpm, run/walk cycles built steadily from ~125 to ~150 bpm across the session (normal cardiac drift, not a red flag), and the added cooldown lap dropped back to 124 bpm - HR behaved exactly as expected for a well-tolerated session. RPE 5/10, comfortable throughout. Shin pain was minimal: one brief couple-minute flare that resolved, followed by good recovery and a strong finish - a clear improvement on R002 and R003. This is the first fully clean session of the block (RPE &lt;=6, no worsening pain), but R003 still had some pain, so it only counts as one - the run/walk ladder rule needs two consecutive clean sessions before advancing.</t>
        </is>
      </c>
      <c r="Z5" t="inlineStr">
        <is>
          <t>Hold, not progress. R005 (Thu 13 Aug, already scheduled to Garmin) stays an identical repeat of 2 min run / 2 min walk x 8, not a step up to 3:2 x6 - R004 is only the first clean session and the rule needs two in a row. If R005 also comes back RPE &lt;=6 with no worsening pain and clears within 24h, R006 can move to the next rung (3 min run / 2 min walk x 6).</t>
        </is>
      </c>
      <c r="AA5" t="inlineStr">
        <is>
          <t>R005: repeat 2 min run / 2 min walk x 8, Thu 13 Aug, scheduled to Garmin with cooldown fixed to 0 min</t>
        </is>
      </c>
      <c r="AB5" t="inlineStr">
        <is>
          <t>19708313053</t>
        </is>
      </c>
      <c r="AC5" t="inlineStr">
        <is>
          <t>Strava (auto) + Garmin Connect (auto) + Joe (RPE/pain/notes)</t>
        </is>
      </c>
      <c r="AD5" t="inlineStr">
        <is>
          <t>00:42:00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5"/>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10" customWidth="1" min="4" max="4"/>
    <col width="10" customWidth="1" min="5" max="5"/>
    <col width="12" customWidth="1" min="6" max="6"/>
    <col width="16" customWidth="1" min="7" max="7"/>
    <col width="12" customWidth="1" min="8" max="8"/>
    <col width="12" customWidth="1" min="9" max="9"/>
    <col width="35" customWidth="1" min="10" max="10"/>
  </cols>
  <sheetData>
    <row r="1">
      <c r="A1" s="6" t="inlineStr">
        <is>
          <t>Run ID</t>
        </is>
      </c>
      <c r="B1" s="6" t="inlineStr">
        <is>
          <t>Date</t>
        </is>
      </c>
      <c r="C1" s="6" t="inlineStr">
        <is>
          <t>Interval</t>
        </is>
      </c>
      <c r="D1" s="6" t="inlineStr">
        <is>
          <t>Step Type</t>
        </is>
      </c>
      <c r="E1" s="6" t="inlineStr">
        <is>
          <t>Duration</t>
        </is>
      </c>
      <c r="F1" s="6" t="inlineStr">
        <is>
          <t>Distance (mi)</t>
        </is>
      </c>
      <c r="G1" s="6" t="inlineStr">
        <is>
          <t>Avg Pace (min/mi)</t>
        </is>
      </c>
      <c r="H1" s="6" t="inlineStr">
        <is>
          <t>Distance (km)</t>
        </is>
      </c>
      <c r="I1" s="6" t="inlineStr">
        <is>
          <t>Avg Pace (/km)</t>
        </is>
      </c>
      <c r="J1" s="6" t="inlineStr">
        <is>
          <t>Notes</t>
        </is>
      </c>
    </row>
    <row r="2">
      <c r="A2" t="inlineStr">
        <is>
          <t>R001</t>
        </is>
      </c>
      <c r="B2" s="10" t="n">
        <v>46237</v>
      </c>
      <c r="C2" t="n">
        <v>1</v>
      </c>
      <c r="D2" t="inlineStr">
        <is>
          <t>Run</t>
        </is>
      </c>
      <c r="E2" t="inlineStr">
        <is>
          <t>00:02:00</t>
        </is>
      </c>
      <c r="F2" t="n">
        <v>0.14</v>
      </c>
      <c r="G2" t="inlineStr">
        <is>
          <t>13:59</t>
        </is>
      </c>
      <c r="H2" t="n">
        <v>0.2253</v>
      </c>
      <c r="I2" t="inlineStr">
        <is>
          <t>8:41</t>
        </is>
      </c>
      <c r="J2" t="inlineStr">
        <is>
          <t>Eased into session</t>
        </is>
      </c>
    </row>
    <row r="3">
      <c r="A3" t="inlineStr">
        <is>
          <t>R001</t>
        </is>
      </c>
      <c r="B3" s="10" t="n">
        <v>46237</v>
      </c>
      <c r="C3" t="n">
        <v>2</v>
      </c>
      <c r="D3" t="inlineStr">
        <is>
          <t>Run</t>
        </is>
      </c>
      <c r="E3" t="inlineStr">
        <is>
          <t>00:02:00</t>
        </is>
      </c>
      <c r="F3" t="n">
        <v>0.15</v>
      </c>
      <c r="G3" t="inlineStr">
        <is>
          <t>13:25</t>
        </is>
      </c>
      <c r="H3" t="n">
        <v>0.2414</v>
      </c>
      <c r="I3" t="inlineStr">
        <is>
          <t>8:20</t>
        </is>
      </c>
    </row>
    <row r="4">
      <c r="A4" t="inlineStr">
        <is>
          <t>R001</t>
        </is>
      </c>
      <c r="B4" s="10" t="n">
        <v>46237</v>
      </c>
      <c r="C4" t="n">
        <v>3</v>
      </c>
      <c r="D4" t="inlineStr">
        <is>
          <t>Run</t>
        </is>
      </c>
      <c r="E4" t="inlineStr">
        <is>
          <t>00:02:00</t>
        </is>
      </c>
      <c r="F4" t="n">
        <v>0.16</v>
      </c>
      <c r="G4" t="inlineStr">
        <is>
          <t>12:22</t>
        </is>
      </c>
      <c r="H4" t="n">
        <v>0.2575</v>
      </c>
      <c r="I4" t="inlineStr">
        <is>
          <t>7:41</t>
        </is>
      </c>
    </row>
    <row r="5">
      <c r="A5" t="inlineStr">
        <is>
          <t>R001</t>
        </is>
      </c>
      <c r="B5" s="10" t="n">
        <v>46237</v>
      </c>
      <c r="C5" t="n">
        <v>4</v>
      </c>
      <c r="D5" t="inlineStr">
        <is>
          <t>Run</t>
        </is>
      </c>
      <c r="E5" t="inlineStr">
        <is>
          <t>00:02:00</t>
        </is>
      </c>
      <c r="F5" t="n">
        <v>0.15</v>
      </c>
      <c r="G5" t="inlineStr">
        <is>
          <t>12:57</t>
        </is>
      </c>
      <c r="H5" t="n">
        <v>0.2414</v>
      </c>
      <c r="I5" t="inlineStr">
        <is>
          <t>8:03</t>
        </is>
      </c>
    </row>
    <row r="6">
      <c r="A6" t="inlineStr">
        <is>
          <t>R001</t>
        </is>
      </c>
      <c r="B6" s="10" t="n">
        <v>46237</v>
      </c>
      <c r="C6" t="n">
        <v>5</v>
      </c>
      <c r="D6" t="inlineStr">
        <is>
          <t>Run</t>
        </is>
      </c>
      <c r="E6" t="inlineStr">
        <is>
          <t>00:02:00</t>
        </is>
      </c>
      <c r="F6" t="n">
        <v>0.15</v>
      </c>
      <c r="G6" t="inlineStr">
        <is>
          <t>12:56</t>
        </is>
      </c>
      <c r="H6" t="n">
        <v>0.2414</v>
      </c>
      <c r="I6" t="inlineStr">
        <is>
          <t>8:02</t>
        </is>
      </c>
    </row>
    <row r="7">
      <c r="A7" t="inlineStr">
        <is>
          <t>R001</t>
        </is>
      </c>
      <c r="B7" s="10" t="n">
        <v>46237</v>
      </c>
      <c r="C7" t="n">
        <v>6</v>
      </c>
      <c r="D7" t="inlineStr">
        <is>
          <t>Run</t>
        </is>
      </c>
      <c r="E7" t="inlineStr">
        <is>
          <t>00:02:00</t>
        </is>
      </c>
      <c r="F7" t="n">
        <v>0.15</v>
      </c>
      <c r="G7" t="inlineStr">
        <is>
          <t>13:25</t>
        </is>
      </c>
      <c r="H7" t="n">
        <v>0.2414</v>
      </c>
      <c r="I7" t="inlineStr">
        <is>
          <t>8:20</t>
        </is>
      </c>
    </row>
    <row r="8">
      <c r="A8" t="inlineStr">
        <is>
          <t>R001</t>
        </is>
      </c>
      <c r="B8" s="10" t="n">
        <v>46237</v>
      </c>
      <c r="C8" t="n">
        <v>7</v>
      </c>
      <c r="D8" t="inlineStr">
        <is>
          <t>Run</t>
        </is>
      </c>
      <c r="E8" t="inlineStr">
        <is>
          <t>00:02:00</t>
        </is>
      </c>
      <c r="F8" t="n">
        <v>0.16</v>
      </c>
      <c r="G8" t="inlineStr">
        <is>
          <t>12:53</t>
        </is>
      </c>
      <c r="H8" t="n">
        <v>0.2575</v>
      </c>
      <c r="I8" t="inlineStr">
        <is>
          <t>8:00</t>
        </is>
      </c>
    </row>
    <row r="9">
      <c r="A9" t="inlineStr">
        <is>
          <t>R001</t>
        </is>
      </c>
      <c r="B9" s="10" t="n">
        <v>46237</v>
      </c>
      <c r="C9" t="n">
        <v>8</v>
      </c>
      <c r="D9" t="inlineStr">
        <is>
          <t>Run</t>
        </is>
      </c>
      <c r="E9" t="inlineStr">
        <is>
          <t>00:02:00</t>
        </is>
      </c>
      <c r="F9" t="n">
        <v>0.17</v>
      </c>
      <c r="G9" t="inlineStr">
        <is>
          <t>12:00</t>
        </is>
      </c>
      <c r="H9" t="n">
        <v>0.2736</v>
      </c>
      <c r="I9" t="inlineStr">
        <is>
          <t>7:27</t>
        </is>
      </c>
      <c r="J9" t="inlineStr">
        <is>
          <t>Fastest interval; finished strongly</t>
        </is>
      </c>
    </row>
    <row r="10">
      <c r="A10" t="inlineStr">
        <is>
          <t>R001</t>
        </is>
      </c>
      <c r="B10" s="10" t="n">
        <v>46237</v>
      </c>
      <c r="C10" t="n">
        <v>1</v>
      </c>
      <c r="D10" t="inlineStr">
        <is>
          <t>Recovery</t>
        </is>
      </c>
      <c r="E10" t="inlineStr">
        <is>
          <t>00:02:00</t>
        </is>
      </c>
      <c r="F10" t="n">
        <v>0.1</v>
      </c>
      <c r="G10" t="inlineStr">
        <is>
          <t>19:51</t>
        </is>
      </c>
      <c r="H10" t="n">
        <v>0.1609</v>
      </c>
    </row>
    <row r="11">
      <c r="A11" t="inlineStr">
        <is>
          <t>R001</t>
        </is>
      </c>
      <c r="B11" s="10" t="n">
        <v>46237</v>
      </c>
      <c r="C11" t="n">
        <v>2</v>
      </c>
      <c r="D11" t="inlineStr">
        <is>
          <t>Recovery</t>
        </is>
      </c>
      <c r="E11" t="inlineStr">
        <is>
          <t>00:02:00</t>
        </is>
      </c>
      <c r="F11" t="n">
        <v>0.11</v>
      </c>
      <c r="G11" t="inlineStr">
        <is>
          <t>18:57</t>
        </is>
      </c>
      <c r="H11" t="n">
        <v>0.177</v>
      </c>
    </row>
    <row r="12">
      <c r="A12" t="inlineStr">
        <is>
          <t>R001</t>
        </is>
      </c>
      <c r="B12" s="10" t="n">
        <v>46237</v>
      </c>
      <c r="C12" t="n">
        <v>3</v>
      </c>
      <c r="D12" t="inlineStr">
        <is>
          <t>Recovery</t>
        </is>
      </c>
      <c r="E12" t="inlineStr">
        <is>
          <t>00:02:00</t>
        </is>
      </c>
      <c r="F12" t="n">
        <v>0.11</v>
      </c>
      <c r="G12" t="inlineStr">
        <is>
          <t>18:51</t>
        </is>
      </c>
      <c r="H12" t="n">
        <v>0.177</v>
      </c>
    </row>
    <row r="13">
      <c r="A13" t="inlineStr">
        <is>
          <t>R001</t>
        </is>
      </c>
      <c r="B13" s="10" t="n">
        <v>46237</v>
      </c>
      <c r="C13" t="n">
        <v>4</v>
      </c>
      <c r="D13" t="inlineStr">
        <is>
          <t>Recovery</t>
        </is>
      </c>
      <c r="E13" t="inlineStr">
        <is>
          <t>00:02:00</t>
        </is>
      </c>
      <c r="F13" t="n">
        <v>0.1</v>
      </c>
      <c r="G13" t="inlineStr">
        <is>
          <t>19:04</t>
        </is>
      </c>
      <c r="H13" t="n">
        <v>0.1609</v>
      </c>
    </row>
    <row r="14">
      <c r="A14" t="inlineStr">
        <is>
          <t>R001</t>
        </is>
      </c>
      <c r="B14" s="10" t="n">
        <v>46237</v>
      </c>
      <c r="C14" t="n">
        <v>5</v>
      </c>
      <c r="D14" t="inlineStr">
        <is>
          <t>Recovery</t>
        </is>
      </c>
      <c r="E14" t="inlineStr">
        <is>
          <t>00:02:00</t>
        </is>
      </c>
      <c r="F14" t="n">
        <v>0.11</v>
      </c>
      <c r="G14" t="inlineStr">
        <is>
          <t>18:49</t>
        </is>
      </c>
      <c r="H14" t="n">
        <v>0.177</v>
      </c>
    </row>
    <row r="15">
      <c r="A15" t="inlineStr">
        <is>
          <t>R001</t>
        </is>
      </c>
      <c r="B15" s="10" t="n">
        <v>46237</v>
      </c>
      <c r="C15" t="n">
        <v>6</v>
      </c>
      <c r="D15" t="inlineStr">
        <is>
          <t>Recovery</t>
        </is>
      </c>
      <c r="E15" t="inlineStr">
        <is>
          <t>00:02:00</t>
        </is>
      </c>
      <c r="F15" t="n">
        <v>0.11</v>
      </c>
      <c r="G15" t="inlineStr">
        <is>
          <t>19:00</t>
        </is>
      </c>
      <c r="H15" t="n">
        <v>0.177</v>
      </c>
    </row>
    <row r="16">
      <c r="A16" t="inlineStr">
        <is>
          <t>R001</t>
        </is>
      </c>
      <c r="B16" s="10" t="n">
        <v>46237</v>
      </c>
      <c r="C16" t="n">
        <v>7</v>
      </c>
      <c r="D16" t="inlineStr">
        <is>
          <t>Recovery</t>
        </is>
      </c>
      <c r="E16" t="inlineStr">
        <is>
          <t>00:02:00</t>
        </is>
      </c>
      <c r="F16" t="n">
        <v>0.11</v>
      </c>
      <c r="G16" t="inlineStr">
        <is>
          <t>17:43</t>
        </is>
      </c>
      <c r="H16" t="n">
        <v>0.177</v>
      </c>
    </row>
    <row r="17">
      <c r="A17" t="inlineStr">
        <is>
          <t>R002</t>
        </is>
      </c>
      <c r="B17" s="10" t="n">
        <v>46239</v>
      </c>
      <c r="C17" t="n">
        <v>1</v>
      </c>
      <c r="D17" t="inlineStr">
        <is>
          <t>Run</t>
        </is>
      </c>
      <c r="E17" t="inlineStr">
        <is>
          <t>00:02:00</t>
        </is>
      </c>
      <c r="F17" t="n">
        <v>0.14</v>
      </c>
      <c r="G17" t="inlineStr">
        <is>
          <t>13:53</t>
        </is>
      </c>
      <c r="H17" t="n">
        <v>0.2253</v>
      </c>
      <c r="I17" t="inlineStr">
        <is>
          <t>8:38</t>
        </is>
      </c>
      <c r="J17" t="inlineStr">
        <is>
          <t>Slow opening interval</t>
        </is>
      </c>
    </row>
    <row r="18">
      <c r="A18" t="inlineStr">
        <is>
          <t>R002</t>
        </is>
      </c>
      <c r="B18" s="10" t="n">
        <v>46239</v>
      </c>
      <c r="C18" t="n">
        <v>2</v>
      </c>
      <c r="D18" t="inlineStr">
        <is>
          <t>Run</t>
        </is>
      </c>
      <c r="E18" t="inlineStr">
        <is>
          <t>00:02:00</t>
        </is>
      </c>
      <c r="F18" t="n">
        <v>0.17</v>
      </c>
      <c r="G18" t="inlineStr">
        <is>
          <t>11:34</t>
        </is>
      </c>
      <c r="H18" t="n">
        <v>0.2736</v>
      </c>
      <c r="I18" t="inlineStr">
        <is>
          <t>7:11</t>
        </is>
      </c>
    </row>
    <row r="19">
      <c r="A19" t="inlineStr">
        <is>
          <t>R002</t>
        </is>
      </c>
      <c r="B19" s="10" t="n">
        <v>46239</v>
      </c>
      <c r="C19" t="n">
        <v>3</v>
      </c>
      <c r="D19" t="inlineStr">
        <is>
          <t>Run</t>
        </is>
      </c>
      <c r="E19" t="inlineStr">
        <is>
          <t>00:02:00</t>
        </is>
      </c>
      <c r="F19" t="n">
        <v>0.18</v>
      </c>
      <c r="G19" t="inlineStr">
        <is>
          <t>11:16</t>
        </is>
      </c>
      <c r="H19" t="n">
        <v>0.2897</v>
      </c>
      <c r="I19" t="inlineStr">
        <is>
          <t>7:00</t>
        </is>
      </c>
      <c r="J19" t="inlineStr">
        <is>
          <t>Fastest early interval</t>
        </is>
      </c>
    </row>
    <row r="20">
      <c r="A20" t="inlineStr">
        <is>
          <t>R002</t>
        </is>
      </c>
      <c r="B20" s="10" t="n">
        <v>46239</v>
      </c>
      <c r="C20" t="n">
        <v>4</v>
      </c>
      <c r="D20" t="inlineStr">
        <is>
          <t>Run</t>
        </is>
      </c>
      <c r="E20" t="inlineStr">
        <is>
          <t>00:02:00</t>
        </is>
      </c>
      <c r="F20" t="n">
        <v>0.17</v>
      </c>
      <c r="G20" t="inlineStr">
        <is>
          <t>11:51</t>
        </is>
      </c>
      <c r="H20" t="n">
        <v>0.2736</v>
      </c>
      <c r="I20" t="inlineStr">
        <is>
          <t>7:22</t>
        </is>
      </c>
    </row>
    <row r="21">
      <c r="A21" t="inlineStr">
        <is>
          <t>R002</t>
        </is>
      </c>
      <c r="B21" s="10" t="n">
        <v>46239</v>
      </c>
      <c r="C21" t="n">
        <v>5</v>
      </c>
      <c r="D21" t="inlineStr">
        <is>
          <t>Run</t>
        </is>
      </c>
      <c r="E21" t="inlineStr">
        <is>
          <t>00:02:00</t>
        </is>
      </c>
      <c r="F21" t="n">
        <v>0.17</v>
      </c>
      <c r="G21" t="inlineStr">
        <is>
          <t>12:03</t>
        </is>
      </c>
      <c r="H21" t="n">
        <v>0.2736</v>
      </c>
      <c r="I21" t="inlineStr">
        <is>
          <t>7:29</t>
        </is>
      </c>
    </row>
    <row r="22">
      <c r="A22" t="inlineStr">
        <is>
          <t>R002</t>
        </is>
      </c>
      <c r="B22" s="10" t="n">
        <v>46239</v>
      </c>
      <c r="C22" t="n">
        <v>6</v>
      </c>
      <c r="D22" t="inlineStr">
        <is>
          <t>Run</t>
        </is>
      </c>
      <c r="E22" t="inlineStr">
        <is>
          <t>00:02:00</t>
        </is>
      </c>
      <c r="F22" t="n">
        <v>0.16</v>
      </c>
      <c r="G22" t="inlineStr">
        <is>
          <t>12:43</t>
        </is>
      </c>
      <c r="H22" t="n">
        <v>0.2575</v>
      </c>
      <c r="I22" t="inlineStr">
        <is>
          <t>7:54</t>
        </is>
      </c>
      <c r="J22" t="inlineStr">
        <is>
          <t>Shin pain period began around here</t>
        </is>
      </c>
    </row>
    <row r="23">
      <c r="A23" t="inlineStr">
        <is>
          <t>R002</t>
        </is>
      </c>
      <c r="B23" s="10" t="n">
        <v>46239</v>
      </c>
      <c r="C23" t="n">
        <v>7</v>
      </c>
      <c r="D23" t="inlineStr">
        <is>
          <t>Run</t>
        </is>
      </c>
      <c r="E23" t="inlineStr">
        <is>
          <t>00:02:00</t>
        </is>
      </c>
      <c r="F23" t="n">
        <v>0.14</v>
      </c>
      <c r="G23" t="inlineStr">
        <is>
          <t>13:50</t>
        </is>
      </c>
      <c r="H23" t="n">
        <v>0.2253</v>
      </c>
      <c r="I23" t="inlineStr">
        <is>
          <t>8:36</t>
        </is>
      </c>
      <c r="J23" t="inlineStr">
        <is>
          <t>Slowed while managing shin pain</t>
        </is>
      </c>
    </row>
    <row r="24">
      <c r="A24" t="inlineStr">
        <is>
          <t>R002</t>
        </is>
      </c>
      <c r="B24" s="10" t="n">
        <v>46239</v>
      </c>
      <c r="C24" t="n">
        <v>8</v>
      </c>
      <c r="D24" t="inlineStr">
        <is>
          <t>Run</t>
        </is>
      </c>
      <c r="E24" t="inlineStr">
        <is>
          <t>00:02:00</t>
        </is>
      </c>
      <c r="F24" t="n">
        <v>0.18</v>
      </c>
      <c r="G24" t="inlineStr">
        <is>
          <t>11:18</t>
        </is>
      </c>
      <c r="H24" t="n">
        <v>0.2897</v>
      </c>
      <c r="I24" t="inlineStr">
        <is>
          <t>7:01</t>
        </is>
      </c>
      <c r="J24" t="inlineStr">
        <is>
          <t>Felt best; strong finish</t>
        </is>
      </c>
    </row>
    <row r="25">
      <c r="A25" t="inlineStr">
        <is>
          <t>R002</t>
        </is>
      </c>
      <c r="B25" s="10" t="n">
        <v>46239</v>
      </c>
      <c r="C25" t="n">
        <v>1</v>
      </c>
      <c r="D25" t="inlineStr">
        <is>
          <t>Recovery</t>
        </is>
      </c>
      <c r="E25" t="inlineStr">
        <is>
          <t>00:02:00</t>
        </is>
      </c>
      <c r="F25" t="n">
        <v>0.12</v>
      </c>
      <c r="G25" t="inlineStr">
        <is>
          <t>17:10</t>
        </is>
      </c>
      <c r="H25" t="n">
        <v>0.1931</v>
      </c>
    </row>
    <row r="26">
      <c r="A26" t="inlineStr">
        <is>
          <t>R002</t>
        </is>
      </c>
      <c r="B26" s="10" t="n">
        <v>46239</v>
      </c>
      <c r="C26" t="n">
        <v>2</v>
      </c>
      <c r="D26" t="inlineStr">
        <is>
          <t>Recovery</t>
        </is>
      </c>
      <c r="E26" t="inlineStr">
        <is>
          <t>00:02:00</t>
        </is>
      </c>
      <c r="F26" t="n">
        <v>0.11</v>
      </c>
      <c r="G26" t="inlineStr">
        <is>
          <t>17:56</t>
        </is>
      </c>
      <c r="H26" t="n">
        <v>0.177</v>
      </c>
    </row>
    <row r="27">
      <c r="A27" t="inlineStr">
        <is>
          <t>R002</t>
        </is>
      </c>
      <c r="B27" s="10" t="n">
        <v>46239</v>
      </c>
      <c r="C27" t="n">
        <v>3</v>
      </c>
      <c r="D27" t="inlineStr">
        <is>
          <t>Recovery</t>
        </is>
      </c>
      <c r="E27" t="inlineStr">
        <is>
          <t>00:02:00</t>
        </is>
      </c>
      <c r="F27" t="n">
        <v>0.1</v>
      </c>
      <c r="G27" t="inlineStr">
        <is>
          <t>19:39</t>
        </is>
      </c>
      <c r="H27" t="n">
        <v>0.1609</v>
      </c>
    </row>
    <row r="28">
      <c r="A28" t="inlineStr">
        <is>
          <t>R002</t>
        </is>
      </c>
      <c r="B28" s="10" t="n">
        <v>46239</v>
      </c>
      <c r="C28" t="n">
        <v>4</v>
      </c>
      <c r="D28" t="inlineStr">
        <is>
          <t>Recovery</t>
        </is>
      </c>
      <c r="E28" t="inlineStr">
        <is>
          <t>00:02:00</t>
        </is>
      </c>
      <c r="F28" t="n">
        <v>0.1</v>
      </c>
      <c r="G28" t="inlineStr">
        <is>
          <t>20:35</t>
        </is>
      </c>
      <c r="H28" t="n">
        <v>0.1609</v>
      </c>
    </row>
    <row r="29">
      <c r="A29" t="inlineStr">
        <is>
          <t>R002</t>
        </is>
      </c>
      <c r="B29" s="10" t="n">
        <v>46239</v>
      </c>
      <c r="C29" t="n">
        <v>5</v>
      </c>
      <c r="D29" t="inlineStr">
        <is>
          <t>Recovery</t>
        </is>
      </c>
      <c r="E29" t="inlineStr">
        <is>
          <t>00:02:00</t>
        </is>
      </c>
      <c r="F29" t="n">
        <v>0.09</v>
      </c>
      <c r="G29" t="inlineStr">
        <is>
          <t>23:11</t>
        </is>
      </c>
      <c r="H29" t="n">
        <v>0.1448</v>
      </c>
    </row>
    <row r="30">
      <c r="A30" t="inlineStr">
        <is>
          <t>R002</t>
        </is>
      </c>
      <c r="B30" s="10" t="n">
        <v>46239</v>
      </c>
      <c r="C30" t="n">
        <v>6</v>
      </c>
      <c r="D30" t="inlineStr">
        <is>
          <t>Recovery</t>
        </is>
      </c>
      <c r="E30" t="inlineStr">
        <is>
          <t>00:02:00</t>
        </is>
      </c>
      <c r="F30" t="n">
        <v>0.1</v>
      </c>
      <c r="G30" t="inlineStr">
        <is>
          <t>20:52</t>
        </is>
      </c>
      <c r="H30" t="n">
        <v>0.1609</v>
      </c>
    </row>
    <row r="31">
      <c r="A31" t="inlineStr">
        <is>
          <t>R002</t>
        </is>
      </c>
      <c r="B31" s="10" t="n">
        <v>46239</v>
      </c>
      <c r="C31" t="n">
        <v>7</v>
      </c>
      <c r="D31" t="inlineStr">
        <is>
          <t>Recovery</t>
        </is>
      </c>
      <c r="E31" t="inlineStr">
        <is>
          <t>00:02:00</t>
        </is>
      </c>
      <c r="F31" t="n">
        <v>0.1</v>
      </c>
      <c r="G31" t="inlineStr">
        <is>
          <t>19:39</t>
        </is>
      </c>
      <c r="H31" t="n">
        <v>0.1609</v>
      </c>
    </row>
    <row r="32">
      <c r="A32" t="inlineStr">
        <is>
          <t>R003</t>
        </is>
      </c>
      <c r="B32" s="9" t="n">
        <v>46243</v>
      </c>
      <c r="C32" t="n">
        <v>1</v>
      </c>
      <c r="D32" t="inlineStr">
        <is>
          <t>Run</t>
        </is>
      </c>
      <c r="E32" t="inlineStr">
        <is>
          <t>00:02:00</t>
        </is>
      </c>
      <c r="F32" t="n">
        <v>0.16</v>
      </c>
      <c r="H32" t="n">
        <v>0.2576</v>
      </c>
      <c r="I32" t="inlineStr">
        <is>
          <t>13:56</t>
        </is>
      </c>
    </row>
    <row r="33">
      <c r="A33" t="inlineStr">
        <is>
          <t>R003</t>
        </is>
      </c>
      <c r="B33" s="9" t="n">
        <v>46243</v>
      </c>
      <c r="C33" t="n">
        <v>2</v>
      </c>
      <c r="D33" t="inlineStr">
        <is>
          <t>Run</t>
        </is>
      </c>
      <c r="E33" t="inlineStr">
        <is>
          <t>00:02:00</t>
        </is>
      </c>
      <c r="F33" t="n">
        <v>0.17</v>
      </c>
      <c r="H33" t="n">
        <v>0.2735</v>
      </c>
      <c r="I33" t="inlineStr">
        <is>
          <t>12:23</t>
        </is>
      </c>
    </row>
    <row r="34">
      <c r="A34" t="inlineStr">
        <is>
          <t>R003</t>
        </is>
      </c>
      <c r="B34" s="9" t="n">
        <v>46243</v>
      </c>
      <c r="C34" t="n">
        <v>3</v>
      </c>
      <c r="D34" t="inlineStr">
        <is>
          <t>Run</t>
        </is>
      </c>
      <c r="E34" t="inlineStr">
        <is>
          <t>00:02:00</t>
        </is>
      </c>
      <c r="F34" t="n">
        <v>0.18</v>
      </c>
      <c r="H34" t="n">
        <v>0.2859</v>
      </c>
      <c r="I34" t="inlineStr">
        <is>
          <t>11:56</t>
        </is>
      </c>
    </row>
    <row r="35">
      <c r="A35" t="inlineStr">
        <is>
          <t>R003</t>
        </is>
      </c>
      <c r="B35" s="9" t="n">
        <v>46243</v>
      </c>
      <c r="C35" t="n">
        <v>4</v>
      </c>
      <c r="D35" t="inlineStr">
        <is>
          <t>Run</t>
        </is>
      </c>
      <c r="E35" t="inlineStr">
        <is>
          <t>00:02:00</t>
        </is>
      </c>
      <c r="F35" t="n">
        <v>0.18</v>
      </c>
      <c r="H35" t="n">
        <v>0.2879</v>
      </c>
      <c r="I35" t="inlineStr">
        <is>
          <t>11:52</t>
        </is>
      </c>
    </row>
    <row r="36">
      <c r="A36" t="inlineStr">
        <is>
          <t>R003</t>
        </is>
      </c>
      <c r="B36" s="9" t="n">
        <v>46243</v>
      </c>
      <c r="C36" t="n">
        <v>5</v>
      </c>
      <c r="D36" t="inlineStr">
        <is>
          <t>Run</t>
        </is>
      </c>
      <c r="E36" t="inlineStr">
        <is>
          <t>00:02:00</t>
        </is>
      </c>
      <c r="F36" t="n">
        <v>0.17</v>
      </c>
      <c r="H36" t="n">
        <v>0.2758</v>
      </c>
      <c r="I36" t="inlineStr">
        <is>
          <t>12:22</t>
        </is>
      </c>
    </row>
    <row r="37">
      <c r="A37" t="inlineStr">
        <is>
          <t>R003</t>
        </is>
      </c>
      <c r="B37" s="9" t="n">
        <v>46243</v>
      </c>
      <c r="C37" t="n">
        <v>6</v>
      </c>
      <c r="D37" t="inlineStr">
        <is>
          <t>Run</t>
        </is>
      </c>
      <c r="E37" t="inlineStr">
        <is>
          <t>00:02:00</t>
        </is>
      </c>
      <c r="F37" t="n">
        <v>0.16</v>
      </c>
      <c r="H37" t="n">
        <v>0.2503</v>
      </c>
      <c r="I37" t="inlineStr">
        <is>
          <t>13:37</t>
        </is>
      </c>
    </row>
    <row r="38">
      <c r="A38" t="inlineStr">
        <is>
          <t>R003</t>
        </is>
      </c>
      <c r="B38" s="9" t="n">
        <v>46243</v>
      </c>
      <c r="C38" t="n">
        <v>7</v>
      </c>
      <c r="D38" t="inlineStr">
        <is>
          <t>Run</t>
        </is>
      </c>
      <c r="E38" t="inlineStr">
        <is>
          <t>00:02:00</t>
        </is>
      </c>
      <c r="F38" t="n">
        <v>0.15</v>
      </c>
      <c r="H38" t="n">
        <v>0.2475</v>
      </c>
      <c r="I38" t="inlineStr">
        <is>
          <t>13:47</t>
        </is>
      </c>
    </row>
    <row r="39">
      <c r="A39" t="inlineStr">
        <is>
          <t>R003</t>
        </is>
      </c>
      <c r="B39" s="9" t="n">
        <v>46243</v>
      </c>
      <c r="C39" t="n">
        <v>8</v>
      </c>
      <c r="D39" t="inlineStr">
        <is>
          <t>Run</t>
        </is>
      </c>
      <c r="E39" t="inlineStr">
        <is>
          <t>00:02:00</t>
        </is>
      </c>
      <c r="F39" t="n">
        <v>0.16</v>
      </c>
      <c r="H39" t="n">
        <v>0.2643</v>
      </c>
      <c r="I39" t="inlineStr">
        <is>
          <t>12:53</t>
        </is>
      </c>
      <c r="J39" t="inlineStr">
        <is>
          <t>Fastest late interval despite cardiac drift</t>
        </is>
      </c>
    </row>
    <row r="40">
      <c r="A40" t="inlineStr">
        <is>
          <t>R003</t>
        </is>
      </c>
      <c r="B40" s="9" t="n">
        <v>46243</v>
      </c>
      <c r="C40" t="n">
        <v>1</v>
      </c>
      <c r="D40" t="inlineStr">
        <is>
          <t>Recovery</t>
        </is>
      </c>
      <c r="E40" t="inlineStr">
        <is>
          <t>00:02:00</t>
        </is>
      </c>
      <c r="F40" t="n">
        <v>0.11</v>
      </c>
      <c r="H40" t="n">
        <v>0.1711</v>
      </c>
    </row>
    <row r="41">
      <c r="A41" t="inlineStr">
        <is>
          <t>R003</t>
        </is>
      </c>
      <c r="B41" s="9" t="n">
        <v>46243</v>
      </c>
      <c r="C41" t="n">
        <v>2</v>
      </c>
      <c r="D41" t="inlineStr">
        <is>
          <t>Recovery</t>
        </is>
      </c>
      <c r="E41" t="inlineStr">
        <is>
          <t>00:02:00</t>
        </is>
      </c>
      <c r="F41" t="n">
        <v>0.1</v>
      </c>
      <c r="H41" t="n">
        <v>0.1647</v>
      </c>
    </row>
    <row r="42">
      <c r="A42" t="inlineStr">
        <is>
          <t>R003</t>
        </is>
      </c>
      <c r="B42" s="9" t="n">
        <v>46243</v>
      </c>
      <c r="C42" t="n">
        <v>3</v>
      </c>
      <c r="D42" t="inlineStr">
        <is>
          <t>Recovery</t>
        </is>
      </c>
      <c r="E42" t="inlineStr">
        <is>
          <t>00:02:00</t>
        </is>
      </c>
      <c r="F42" t="n">
        <v>0.1</v>
      </c>
      <c r="H42" t="n">
        <v>0.1606</v>
      </c>
    </row>
    <row r="43">
      <c r="A43" t="inlineStr">
        <is>
          <t>R003</t>
        </is>
      </c>
      <c r="B43" s="9" t="n">
        <v>46243</v>
      </c>
      <c r="C43" t="n">
        <v>4</v>
      </c>
      <c r="D43" t="inlineStr">
        <is>
          <t>Recovery</t>
        </is>
      </c>
      <c r="E43" t="inlineStr">
        <is>
          <t>00:02:00</t>
        </is>
      </c>
      <c r="F43" t="n">
        <v>0.1</v>
      </c>
      <c r="H43" t="n">
        <v>0.1558</v>
      </c>
    </row>
    <row r="44">
      <c r="A44" t="inlineStr">
        <is>
          <t>R003</t>
        </is>
      </c>
      <c r="B44" s="9" t="n">
        <v>46243</v>
      </c>
      <c r="C44" t="n">
        <v>5</v>
      </c>
      <c r="D44" t="inlineStr">
        <is>
          <t>Recovery</t>
        </is>
      </c>
      <c r="E44" t="inlineStr">
        <is>
          <t>00:02:00</t>
        </is>
      </c>
      <c r="F44" t="n">
        <v>0.09</v>
      </c>
      <c r="H44" t="n">
        <v>0.1527</v>
      </c>
    </row>
    <row r="45">
      <c r="A45" t="inlineStr">
        <is>
          <t>R003</t>
        </is>
      </c>
      <c r="B45" s="9" t="n">
        <v>46243</v>
      </c>
      <c r="C45" t="n">
        <v>6</v>
      </c>
      <c r="D45" t="inlineStr">
        <is>
          <t>Recovery</t>
        </is>
      </c>
      <c r="E45" t="inlineStr">
        <is>
          <t>00:02:00</t>
        </is>
      </c>
      <c r="F45" t="n">
        <v>0.09</v>
      </c>
      <c r="H45" t="n">
        <v>0.1512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4"/>
  <sheetViews>
    <sheetView showGridLines="0" workbookViewId="0">
      <selection activeCell="A1" sqref="A1"/>
    </sheetView>
  </sheetViews>
  <sheetFormatPr baseColWidth="8" defaultRowHeight="15"/>
  <cols>
    <col width="14" customWidth="1" min="1" max="1"/>
    <col width="12" customWidth="1" min="2" max="2"/>
    <col width="12" customWidth="1" min="3" max="3"/>
    <col width="18" customWidth="1" min="4" max="4"/>
    <col width="11" customWidth="1" min="5" max="5"/>
    <col width="10" customWidth="1" min="6" max="6"/>
    <col width="10" customWidth="1" min="7" max="7"/>
    <col width="12" customWidth="1" min="8" max="8"/>
    <col width="16" customWidth="1" min="9" max="9"/>
    <col width="45" customWidth="1" min="10" max="10"/>
  </cols>
  <sheetData>
    <row r="1">
      <c r="A1" s="1" t="inlineStr">
        <is>
          <t>HEALTH &amp; RECOVERY</t>
        </is>
      </c>
    </row>
    <row r="4">
      <c r="A4" s="6" t="inlineStr">
        <is>
          <t>Date</t>
        </is>
      </c>
      <c r="B4" s="6" t="inlineStr">
        <is>
          <t>Weight (st)</t>
        </is>
      </c>
      <c r="C4" s="6" t="inlineStr">
        <is>
          <t>Weight (kg)</t>
        </is>
      </c>
      <c r="D4" s="6" t="inlineStr">
        <is>
          <t>Change from Start (st)</t>
        </is>
      </c>
      <c r="E4" s="6" t="inlineStr">
        <is>
          <t>Sleep Score</t>
        </is>
      </c>
      <c r="F4" s="6" t="inlineStr">
        <is>
          <t>Sleep (hrs)</t>
        </is>
      </c>
      <c r="G4" s="6" t="inlineStr">
        <is>
          <t>Resting HR</t>
        </is>
      </c>
      <c r="H4" s="6" t="inlineStr">
        <is>
          <t>Fatigue (1–10)</t>
        </is>
      </c>
      <c r="I4" s="6" t="inlineStr">
        <is>
          <t>Pain/Niggles</t>
        </is>
      </c>
      <c r="J4" s="6" t="inlineStr">
        <is>
          <t>Notes</t>
        </is>
      </c>
    </row>
    <row r="5">
      <c r="A5" s="10" t="n">
        <v>46237</v>
      </c>
      <c r="B5" t="n">
        <v>18.7857</v>
      </c>
      <c r="C5">
        <f>B5*6.35029318</f>
        <v/>
      </c>
      <c r="D5">
        <f>IF(B5="","",B5-$B$5)</f>
        <v/>
      </c>
      <c r="E5" t="n">
        <v>74</v>
      </c>
      <c r="F5" t="n">
        <v>5.95</v>
      </c>
      <c r="I5" t="inlineStr">
        <is>
          <t>None reported</t>
        </is>
      </c>
      <c r="J5" t="inlineStr">
        <is>
          <t>Garmin sleep, night before R001: score 74 (Fair), short (5.95h, incl. a nap), HRV 39ms.</t>
        </is>
      </c>
    </row>
    <row r="6">
      <c r="A6" s="10" t="n">
        <v>46239</v>
      </c>
      <c r="B6" t="n">
        <v>18.5</v>
      </c>
      <c r="C6">
        <f>B6*6.35029318</f>
        <v/>
      </c>
      <c r="D6">
        <f>IF(B6="","",B6-$B$5)</f>
        <v/>
      </c>
      <c r="E6" t="n">
        <v>91</v>
      </c>
      <c r="F6" t="n">
        <v>7.65</v>
      </c>
      <c r="J6" t="inlineStr">
        <is>
          <t>Garmin sleep, night immediately before R002: score 91 (Excellent), 7.65h, HRV 36ms.</t>
        </is>
      </c>
    </row>
    <row r="7">
      <c r="A7" s="10" t="n">
        <v>46238</v>
      </c>
      <c r="C7">
        <f>B7*6.35029318</f>
        <v/>
      </c>
      <c r="D7">
        <f>IF(B7="","",B7-$B$5)</f>
        <v/>
      </c>
      <c r="E7" t="n">
        <v>89</v>
      </c>
      <c r="F7" t="n">
        <v>8.07</v>
      </c>
      <c r="J7" t="inlineStr">
        <is>
          <t>Garmin sleep, night of 3-4 Aug (two nights before R002): score 89 (Good), 8.07h, HRV 30ms.</t>
        </is>
      </c>
    </row>
    <row r="8">
      <c r="A8" s="10" t="n">
        <v>46242</v>
      </c>
      <c r="C8">
        <f>B8*6.35029318</f>
        <v/>
      </c>
      <c r="D8">
        <f>IF(B8="","",B8-$B$5)</f>
        <v/>
      </c>
      <c r="E8" t="n">
        <v>37</v>
      </c>
      <c r="F8" t="n">
        <v>6.88</v>
      </c>
      <c r="J8" t="inlineStr">
        <is>
          <t>CORRECTED LABEL: this is the night of 7-8 Aug (Fri-Sat), TWO nights before R003, not the night immediately before as originally logged. Score 37 (Poor), HRV 21ms, REM 3.4%, within the reported weekend of drinking. No Garmin sleep record exists for the night immediately before R003 (8-9 Aug) - query returned empty.</t>
        </is>
      </c>
    </row>
    <row r="9">
      <c r="A9" s="10" t="n">
        <v>46240</v>
      </c>
      <c r="C9">
        <f>B9*6.35029318</f>
        <v/>
      </c>
      <c r="D9">
        <f>IF(B9="","",B9-$B$5)</f>
        <v/>
      </c>
      <c r="E9" t="n">
        <v>82</v>
      </c>
      <c r="F9" t="n">
        <v>7.12</v>
      </c>
      <c r="J9" t="inlineStr">
        <is>
          <t>Garmin sleep: score 82 (Good), 7.12h, HRV 32ms.</t>
        </is>
      </c>
    </row>
    <row r="10">
      <c r="A10" s="10" t="n">
        <v>46241</v>
      </c>
      <c r="C10">
        <f>B10*6.35029318</f>
        <v/>
      </c>
      <c r="D10">
        <f>IF(B10="","",B10-$B$5)</f>
        <v/>
      </c>
      <c r="E10" t="n">
        <v>59</v>
      </c>
      <c r="F10" t="n">
        <v>6.73</v>
      </c>
      <c r="J10" t="inlineStr">
        <is>
          <t>Garmin sleep: score 59 (Poor), 6.73h, HRV 22ms.</t>
        </is>
      </c>
    </row>
    <row r="11">
      <c r="A11" s="10" t="n">
        <v>46244</v>
      </c>
      <c r="C11">
        <f>B11*6.35029318</f>
        <v/>
      </c>
      <c r="D11">
        <f>IF(B11="","",B11-$B$5)</f>
        <v/>
      </c>
      <c r="E11" t="n">
        <v>88</v>
      </c>
      <c r="F11" t="n">
        <v>8.050000000000001</v>
      </c>
      <c r="J11" t="inlineStr">
        <is>
          <t>Garmin sleep, night after R003: score 88 (Good), 8.05h, HRV 29ms.</t>
        </is>
      </c>
    </row>
    <row r="12">
      <c r="A12" s="10" t="n">
        <v>46246</v>
      </c>
      <c r="B12" t="n">
        <v>18.7571</v>
      </c>
      <c r="C12">
        <f>B12*6.35029318</f>
        <v/>
      </c>
      <c r="D12">
        <f>IF(B12="","",B12-$B$5)</f>
        <v/>
      </c>
      <c r="E12" t="n">
        <v>80</v>
      </c>
      <c r="F12" t="n">
        <v>6.9</v>
      </c>
      <c r="G12" t="n">
        <v>52</v>
      </c>
    </row>
    <row r="13">
      <c r="C13">
        <f>B13*6.35029318</f>
        <v/>
      </c>
      <c r="D13">
        <f>IF(B13="","",B13-$B$5)</f>
        <v/>
      </c>
    </row>
    <row r="14">
      <c r="C14">
        <f>B14*6.35029318</f>
        <v/>
      </c>
      <c r="D14">
        <f>IF(B14="","",B14-$B$5)</f>
        <v/>
      </c>
    </row>
    <row r="15">
      <c r="C15">
        <f>B15*6.35029318</f>
        <v/>
      </c>
      <c r="D15">
        <f>IF(B15="","",B15-$B$5)</f>
        <v/>
      </c>
    </row>
    <row r="16">
      <c r="C16">
        <f>B16*6.35029318</f>
        <v/>
      </c>
      <c r="D16">
        <f>IF(B16="","",B16-$B$5)</f>
        <v/>
      </c>
    </row>
    <row r="17">
      <c r="C17">
        <f>B17*6.35029318</f>
        <v/>
      </c>
      <c r="D17">
        <f>IF(B17="","",B17-$B$5)</f>
        <v/>
      </c>
    </row>
    <row r="18">
      <c r="C18">
        <f>B18*6.35029318</f>
        <v/>
      </c>
      <c r="D18">
        <f>IF(B18="","",B18-$B$5)</f>
        <v/>
      </c>
    </row>
    <row r="19">
      <c r="C19">
        <f>B19*6.35029318</f>
        <v/>
      </c>
      <c r="D19">
        <f>IF(B19="","",B19-$B$5)</f>
        <v/>
      </c>
    </row>
    <row r="20">
      <c r="C20">
        <f>B20*6.35029318</f>
        <v/>
      </c>
      <c r="D20">
        <f>IF(B20="","",B20-$B$5)</f>
        <v/>
      </c>
    </row>
    <row r="21">
      <c r="C21">
        <f>B21*6.35029318</f>
        <v/>
      </c>
      <c r="D21">
        <f>IF(B21="","",B21-$B$5)</f>
        <v/>
      </c>
    </row>
    <row r="22">
      <c r="C22">
        <f>B22*6.35029318</f>
        <v/>
      </c>
      <c r="D22">
        <f>IF(B22="","",B22-$B$5)</f>
        <v/>
      </c>
    </row>
    <row r="23">
      <c r="C23">
        <f>B23*6.35029318</f>
        <v/>
      </c>
      <c r="D23">
        <f>IF(B23="","",B23-$B$5)</f>
        <v/>
      </c>
    </row>
    <row r="24">
      <c r="C24">
        <f>B24*6.35029318</f>
        <v/>
      </c>
      <c r="D24">
        <f>IF(B24="","",B24-$B$5)</f>
        <v/>
      </c>
    </row>
    <row r="25">
      <c r="C25">
        <f>B25*6.35029318</f>
        <v/>
      </c>
      <c r="D25">
        <f>IF(B25="","",B25-$B$5)</f>
        <v/>
      </c>
    </row>
    <row r="26">
      <c r="C26">
        <f>B26*6.35029318</f>
        <v/>
      </c>
      <c r="D26">
        <f>IF(B26="","",B26-$B$5)</f>
        <v/>
      </c>
    </row>
    <row r="27">
      <c r="C27">
        <f>B27*6.35029318</f>
        <v/>
      </c>
      <c r="D27">
        <f>IF(B27="","",B27-$B$5)</f>
        <v/>
      </c>
    </row>
    <row r="28">
      <c r="C28">
        <f>B28*6.35029318</f>
        <v/>
      </c>
      <c r="D28">
        <f>IF(B28="","",B28-$B$5)</f>
        <v/>
      </c>
    </row>
    <row r="29">
      <c r="C29">
        <f>B29*6.35029318</f>
        <v/>
      </c>
      <c r="D29">
        <f>IF(B29="","",B29-$B$5)</f>
        <v/>
      </c>
    </row>
    <row r="30">
      <c r="C30">
        <f>B30*6.35029318</f>
        <v/>
      </c>
      <c r="D30">
        <f>IF(B30="","",B30-$B$5)</f>
        <v/>
      </c>
    </row>
    <row r="31">
      <c r="C31">
        <f>B31*6.35029318</f>
        <v/>
      </c>
      <c r="D31">
        <f>IF(B31="","",B31-$B$5)</f>
        <v/>
      </c>
    </row>
    <row r="32">
      <c r="C32">
        <f>B32*6.35029318</f>
        <v/>
      </c>
      <c r="D32">
        <f>IF(B32="","",B32-$B$5)</f>
        <v/>
      </c>
    </row>
    <row r="33">
      <c r="C33">
        <f>B33*6.35029318</f>
        <v/>
      </c>
      <c r="D33">
        <f>IF(B33="","",B33-$B$5)</f>
        <v/>
      </c>
    </row>
    <row r="34">
      <c r="C34">
        <f>B34*6.35029318</f>
        <v/>
      </c>
      <c r="D34">
        <f>IF(B34="","",B34-$B$5)</f>
        <v/>
      </c>
    </row>
    <row r="35">
      <c r="C35">
        <f>B35*6.35029318</f>
        <v/>
      </c>
      <c r="D35">
        <f>IF(B35="","",B35-$B$5)</f>
        <v/>
      </c>
    </row>
    <row r="36">
      <c r="C36">
        <f>B36*6.35029318</f>
        <v/>
      </c>
      <c r="D36">
        <f>IF(B36="","",B36-$B$5)</f>
        <v/>
      </c>
    </row>
    <row r="37">
      <c r="C37">
        <f>B37*6.35029318</f>
        <v/>
      </c>
      <c r="D37">
        <f>IF(B37="","",B37-$B$5)</f>
        <v/>
      </c>
    </row>
    <row r="38">
      <c r="C38">
        <f>B38*6.35029318</f>
        <v/>
      </c>
      <c r="D38">
        <f>IF(B38="","",B38-$B$5)</f>
        <v/>
      </c>
    </row>
    <row r="39">
      <c r="C39">
        <f>B39*6.35029318</f>
        <v/>
      </c>
      <c r="D39">
        <f>IF(B39="","",B39-$B$5)</f>
        <v/>
      </c>
    </row>
    <row r="40">
      <c r="C40">
        <f>B40*6.35029318</f>
        <v/>
      </c>
      <c r="D40">
        <f>IF(B40="","",B40-$B$5)</f>
        <v/>
      </c>
    </row>
    <row r="41">
      <c r="C41">
        <f>B41*6.35029318</f>
        <v/>
      </c>
      <c r="D41">
        <f>IF(B41="","",B41-$B$5)</f>
        <v/>
      </c>
    </row>
    <row r="42">
      <c r="C42">
        <f>B42*6.35029318</f>
        <v/>
      </c>
      <c r="D42">
        <f>IF(B42="","",B42-$B$5)</f>
        <v/>
      </c>
    </row>
    <row r="43">
      <c r="C43">
        <f>B43*6.35029318</f>
        <v/>
      </c>
      <c r="D43">
        <f>IF(B43="","",B43-$B$5)</f>
        <v/>
      </c>
    </row>
    <row r="44">
      <c r="C44">
        <f>B44*6.35029318</f>
        <v/>
      </c>
      <c r="D44">
        <f>IF(B44="","",B44-$B$5)</f>
        <v/>
      </c>
    </row>
    <row r="45">
      <c r="C45">
        <f>B45*6.35029318</f>
        <v/>
      </c>
      <c r="D45">
        <f>IF(B45="","",B45-$B$5)</f>
        <v/>
      </c>
    </row>
    <row r="46">
      <c r="C46">
        <f>B46*6.35029318</f>
        <v/>
      </c>
      <c r="D46">
        <f>IF(B46="","",B46-$B$5)</f>
        <v/>
      </c>
    </row>
    <row r="47">
      <c r="C47">
        <f>B47*6.35029318</f>
        <v/>
      </c>
      <c r="D47">
        <f>IF(B47="","",B47-$B$5)</f>
        <v/>
      </c>
    </row>
    <row r="48">
      <c r="C48">
        <f>B48*6.35029318</f>
        <v/>
      </c>
      <c r="D48">
        <f>IF(B48="","",B48-$B$5)</f>
        <v/>
      </c>
    </row>
    <row r="49">
      <c r="C49">
        <f>B49*6.35029318</f>
        <v/>
      </c>
      <c r="D49">
        <f>IF(B49="","",B49-$B$5)</f>
        <v/>
      </c>
    </row>
    <row r="50">
      <c r="C50">
        <f>B50*6.35029318</f>
        <v/>
      </c>
      <c r="D50">
        <f>IF(B50="","",B50-$B$5)</f>
        <v/>
      </c>
    </row>
    <row r="51">
      <c r="C51">
        <f>B51*6.35029318</f>
        <v/>
      </c>
      <c r="D51">
        <f>IF(B51="","",B51-$B$5)</f>
        <v/>
      </c>
    </row>
    <row r="52">
      <c r="C52">
        <f>B52*6.35029318</f>
        <v/>
      </c>
      <c r="D52">
        <f>IF(B52="","",B52-$B$5)</f>
        <v/>
      </c>
    </row>
    <row r="53">
      <c r="C53">
        <f>B53*6.35029318</f>
        <v/>
      </c>
      <c r="D53">
        <f>IF(B53="","",B53-$B$5)</f>
        <v/>
      </c>
    </row>
    <row r="54">
      <c r="C54">
        <f>B54*6.35029318</f>
        <v/>
      </c>
      <c r="D54">
        <f>IF(B54="","",B54-$B$5)</f>
        <v/>
      </c>
    </row>
    <row r="55">
      <c r="C55">
        <f>B55*6.35029318</f>
        <v/>
      </c>
      <c r="D55">
        <f>IF(B55="","",B55-$B$5)</f>
        <v/>
      </c>
    </row>
    <row r="56">
      <c r="C56">
        <f>B56*6.35029318</f>
        <v/>
      </c>
      <c r="D56">
        <f>IF(B56="","",B56-$B$5)</f>
        <v/>
      </c>
    </row>
    <row r="57">
      <c r="C57">
        <f>B57*6.35029318</f>
        <v/>
      </c>
      <c r="D57">
        <f>IF(B57="","",B57-$B$5)</f>
        <v/>
      </c>
    </row>
    <row r="58">
      <c r="C58">
        <f>B58*6.35029318</f>
        <v/>
      </c>
      <c r="D58">
        <f>IF(B58="","",B58-$B$5)</f>
        <v/>
      </c>
    </row>
    <row r="59">
      <c r="C59">
        <f>B59*6.35029318</f>
        <v/>
      </c>
      <c r="D59">
        <f>IF(B59="","",B59-$B$5)</f>
        <v/>
      </c>
    </row>
    <row r="60">
      <c r="C60">
        <f>B60*6.35029318</f>
        <v/>
      </c>
      <c r="D60">
        <f>IF(B60="","",B60-$B$5)</f>
        <v/>
      </c>
    </row>
    <row r="61">
      <c r="C61">
        <f>B61*6.35029318</f>
        <v/>
      </c>
      <c r="D61">
        <f>IF(B61="","",B61-$B$5)</f>
        <v/>
      </c>
    </row>
    <row r="62">
      <c r="C62">
        <f>B62*6.35029318</f>
        <v/>
      </c>
      <c r="D62">
        <f>IF(B62="","",B62-$B$5)</f>
        <v/>
      </c>
    </row>
    <row r="63">
      <c r="C63">
        <f>B63*6.35029318</f>
        <v/>
      </c>
      <c r="D63">
        <f>IF(B63="","",B63-$B$5)</f>
        <v/>
      </c>
    </row>
    <row r="64">
      <c r="C64">
        <f>B64*6.35029318</f>
        <v/>
      </c>
      <c r="D64">
        <f>IF(B64="","",B64-$B$5)</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showGridLines="0" workbookViewId="0">
      <selection activeCell="A1" sqref="A1"/>
    </sheetView>
  </sheetViews>
  <sheetFormatPr baseColWidth="8" defaultRowHeight="15"/>
  <cols>
    <col width="22" customWidth="1" min="1" max="1"/>
    <col width="45" customWidth="1" min="2" max="2"/>
    <col width="12" customWidth="1" min="3" max="3"/>
    <col width="12" customWidth="1" min="4" max="4"/>
    <col width="20" customWidth="1" min="5" max="5"/>
    <col width="18" customWidth="1" min="6" max="6"/>
  </cols>
  <sheetData>
    <row r="1">
      <c r="A1" s="1" t="inlineStr">
        <is>
          <t>PROGRESS LAB</t>
        </is>
      </c>
    </row>
    <row r="4">
      <c r="A4" s="6" t="inlineStr">
        <is>
          <t>Metric</t>
        </is>
      </c>
      <c r="B4" s="6" t="inlineStr">
        <is>
          <t>Current</t>
        </is>
      </c>
      <c r="C4" s="6" t="inlineStr">
        <is>
          <t>Starting</t>
        </is>
      </c>
      <c r="D4" s="6" t="inlineStr">
        <is>
          <t>Change</t>
        </is>
      </c>
      <c r="E4" s="6" t="inlineStr">
        <is>
          <t>Current (readable)</t>
        </is>
      </c>
      <c r="F4" s="6" t="inlineStr">
        <is>
          <t>Change (readable)</t>
        </is>
      </c>
    </row>
    <row r="5">
      <c r="A5" t="inlineStr">
        <is>
          <t>Weight (st)</t>
        </is>
      </c>
      <c r="B5">
        <f>IFERROR(LOOKUP(2,1/(Health!B5:B200&lt;&gt;""),Health!B5:B200),"")</f>
        <v/>
      </c>
      <c r="C5" t="n">
        <v>18.7857</v>
      </c>
      <c r="D5">
        <f>IF(B5="","",B5-C5)</f>
        <v/>
      </c>
      <c r="E5">
        <f>INT(B5)&amp;" st "&amp;ROUND(MOD(B5,1)*14,0)&amp;" lb"</f>
        <v/>
      </c>
      <c r="F5">
        <f>IF(D5&lt;=0,ROUND(-D5*14,0)&amp;" lb lost",ROUND(D5*14,0)&amp;" lb gained")</f>
        <v/>
      </c>
    </row>
    <row r="6">
      <c r="A6" t="inlineStr">
        <is>
          <t>Total distance (km)</t>
        </is>
      </c>
      <c r="B6">
        <f>ROUND(SUM('Run Archive'!G2:G500),2)</f>
        <v/>
      </c>
      <c r="C6" t="n">
        <v>0</v>
      </c>
      <c r="D6">
        <f>B6-C6</f>
        <v/>
      </c>
    </row>
    <row r="7">
      <c r="A7" t="inlineStr">
        <is>
          <t>Longest run (km)</t>
        </is>
      </c>
      <c r="B7">
        <f>IFERROR(ROUND(MAX('Run Archive'!G2:G500),2),0)</f>
        <v/>
      </c>
      <c r="C7" t="n">
        <v>0</v>
      </c>
      <c r="D7">
        <f>B7-C7</f>
        <v/>
      </c>
    </row>
    <row r="8">
      <c r="A8" t="inlineStr">
        <is>
          <t>Average HR</t>
        </is>
      </c>
      <c r="B8">
        <f>IFERROR(ROUND(AVERAGE('Run Archive'!J2:J500),0),"")</f>
        <v/>
      </c>
      <c r="C8" t="n">
        <v>133</v>
      </c>
      <c r="D8">
        <f>B8-C8</f>
        <v/>
      </c>
    </row>
    <row r="9">
      <c r="A9" t="inlineStr">
        <is>
          <t>Runs completed</t>
        </is>
      </c>
      <c r="B9">
        <f>COUNTA('Run Archive'!A2:A500)</f>
        <v/>
      </c>
      <c r="C9" t="n">
        <v>0</v>
      </c>
      <c r="D9">
        <f>B9-C9</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26" customWidth="1" min="1" max="1"/>
    <col width="11" customWidth="1" min="2" max="2"/>
    <col width="14" customWidth="1" min="3" max="3"/>
    <col width="30" customWidth="1" min="4" max="4"/>
    <col width="8" customWidth="1" min="5" max="5"/>
    <col width="55" customWidth="1" min="6" max="6"/>
  </cols>
  <sheetData>
    <row r="1">
      <c r="A1" s="1" t="inlineStr">
        <is>
          <t>MILESTONES</t>
        </is>
      </c>
    </row>
    <row r="4">
      <c r="A4" s="6" t="inlineStr">
        <is>
          <t>Milestone</t>
        </is>
      </c>
      <c r="B4" s="6" t="inlineStr">
        <is>
          <t>Status</t>
        </is>
      </c>
      <c r="C4" s="6" t="inlineStr">
        <is>
          <t>Date</t>
        </is>
      </c>
      <c r="D4" s="6" t="inlineStr">
        <is>
          <t>Result</t>
        </is>
      </c>
      <c r="E4" s="6" t="inlineStr">
        <is>
          <t>Run #</t>
        </is>
      </c>
      <c r="F4" s="6" t="inlineStr">
        <is>
          <t>Story</t>
        </is>
      </c>
    </row>
    <row r="5">
      <c r="A5" t="inlineStr">
        <is>
          <t>Official Run #1</t>
        </is>
      </c>
      <c r="B5" t="inlineStr">
        <is>
          <t>Achieved</t>
        </is>
      </c>
      <c r="C5" s="10" t="n">
        <v>46237</v>
      </c>
      <c r="D5" t="inlineStr">
        <is>
          <t>3.92 km run/walk</t>
        </is>
      </c>
      <c r="E5" t="inlineStr">
        <is>
          <t>R001</t>
        </is>
      </c>
      <c r="F5" t="inlineStr">
        <is>
          <t>The marathon project officially began.</t>
        </is>
      </c>
    </row>
    <row r="6">
      <c r="A6" t="inlineStr">
        <is>
          <t>First efficiency improvement</t>
        </is>
      </c>
      <c r="B6" t="inlineStr">
        <is>
          <t>Achieved</t>
        </is>
      </c>
      <c r="C6" s="10" t="n">
        <v>46239</v>
      </c>
      <c r="D6" t="inlineStr">
        <is>
          <t>Farther + lower HR than R001</t>
        </is>
      </c>
      <c r="E6" t="inlineStr">
        <is>
          <t>R002</t>
        </is>
      </c>
      <c r="F6" t="inlineStr">
        <is>
          <t>First repeat workout showing measurable aerobic efficiency improvement.</t>
        </is>
      </c>
    </row>
    <row r="7">
      <c r="A7" t="inlineStr">
        <is>
          <t>First continuous 20 min</t>
        </is>
      </c>
      <c r="B7" t="inlineStr">
        <is>
          <t>Not yet</t>
        </is>
      </c>
    </row>
    <row r="8">
      <c r="A8" t="inlineStr">
        <is>
          <t>First continuous 30 min</t>
        </is>
      </c>
      <c r="B8" t="inlineStr">
        <is>
          <t>Not yet</t>
        </is>
      </c>
    </row>
    <row r="9">
      <c r="A9" t="inlineStr">
        <is>
          <t>First continuous 5K</t>
        </is>
      </c>
      <c r="B9" t="inlineStr">
        <is>
          <t>Not yet</t>
        </is>
      </c>
    </row>
    <row r="10">
      <c r="A10" t="inlineStr">
        <is>
          <t>First parkrun</t>
        </is>
      </c>
      <c r="B10" t="inlineStr">
        <is>
          <t>Not yet</t>
        </is>
      </c>
    </row>
    <row r="11">
      <c r="A11" t="inlineStr">
        <is>
          <t>First 10K</t>
        </is>
      </c>
      <c r="B11" t="inlineStr">
        <is>
          <t>Not yet</t>
        </is>
      </c>
    </row>
    <row r="12">
      <c r="A12" t="inlineStr">
        <is>
          <t>100 km total</t>
        </is>
      </c>
      <c r="B12" t="inlineStr">
        <is>
          <t>Not yet</t>
        </is>
      </c>
    </row>
    <row r="13">
      <c r="A13" t="inlineStr">
        <is>
          <t>First half marathon</t>
        </is>
      </c>
      <c r="B13" t="inlineStr">
        <is>
          <t>Not yet</t>
        </is>
      </c>
    </row>
    <row r="14">
      <c r="A14" t="inlineStr">
        <is>
          <t>First 20-mile run</t>
        </is>
      </c>
      <c r="B14" t="inlineStr">
        <is>
          <t>Not yet</t>
        </is>
      </c>
    </row>
    <row r="15">
      <c r="A15" t="inlineStr">
        <is>
          <t>1 stone lost</t>
        </is>
      </c>
      <c r="B15" t="inlineStr">
        <is>
          <t>Not yet</t>
        </is>
      </c>
    </row>
    <row r="16">
      <c r="A16" t="inlineStr">
        <is>
          <t>2 stone lost</t>
        </is>
      </c>
      <c r="B16" t="inlineStr">
        <is>
          <t>Not yet</t>
        </is>
      </c>
    </row>
    <row r="17">
      <c r="A17" t="inlineStr">
        <is>
          <t>London Marathon 2027</t>
        </is>
      </c>
      <c r="B17" t="inlineStr">
        <is>
          <t>Not yet</t>
        </is>
      </c>
      <c r="C17" s="10" t="n">
        <v>46502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showGridLines="0" workbookViewId="0">
      <selection activeCell="A1" sqref="A1"/>
    </sheetView>
  </sheetViews>
  <sheetFormatPr baseColWidth="8" defaultRowHeight="15"/>
  <cols>
    <col width="16" customWidth="1" min="1" max="1"/>
    <col width="18" customWidth="1" min="2" max="2"/>
    <col width="14" customWidth="1" min="3" max="3"/>
    <col width="18" customWidth="1" min="4" max="4"/>
    <col width="11" customWidth="1" min="5" max="5"/>
    <col width="15" customWidth="1" min="6" max="6"/>
    <col width="28" customWidth="1" min="7" max="7"/>
    <col width="60" customWidth="1" min="8" max="8"/>
    <col width="16" customWidth="1" min="9" max="9"/>
  </cols>
  <sheetData>
    <row r="1">
      <c r="A1" s="1" t="inlineStr">
        <is>
          <t>GEAR</t>
        </is>
      </c>
    </row>
    <row r="4">
      <c r="A4" s="6" t="inlineStr">
        <is>
          <t>Item</t>
        </is>
      </c>
      <c r="B4" s="6" t="inlineStr">
        <is>
          <t>Brand/Model</t>
        </is>
      </c>
      <c r="C4" s="6" t="inlineStr">
        <is>
          <t>Start Date</t>
        </is>
      </c>
      <c r="D4" s="6" t="inlineStr">
        <is>
          <t>Known Starting km</t>
        </is>
      </c>
      <c r="E4" s="6" t="inlineStr">
        <is>
          <t>Project km</t>
        </is>
      </c>
      <c r="F4" s="6" t="inlineStr">
        <is>
          <t>Replace Around</t>
        </is>
      </c>
      <c r="G4" s="6" t="inlineStr">
        <is>
          <t>Status</t>
        </is>
      </c>
      <c r="H4" s="6" t="inlineStr">
        <is>
          <t>Notes</t>
        </is>
      </c>
      <c r="I4" s="6" t="inlineStr">
        <is>
          <t>Total km (est.)</t>
        </is>
      </c>
    </row>
    <row r="5">
      <c r="A5" t="inlineStr">
        <is>
          <t>Running Shoes</t>
        </is>
      </c>
      <c r="B5" t="inlineStr">
        <is>
          <t>Hoka Clifton 9</t>
        </is>
      </c>
      <c r="C5" s="10" t="n">
        <v>46237</v>
      </c>
      <c r="D5" t="n">
        <v>300</v>
      </c>
      <c r="E5">
        <f>ROUND(SUMIFS('Run Archive'!G:G,'Run Archive'!T:T,B5),2)</f>
        <v/>
      </c>
      <c r="F5" t="n">
        <v>700</v>
      </c>
      <c r="G5" t="inlineStr">
        <is>
          <t>Active — ~44% through typical lifespan (300km known + project km, against a 700km replace estimate)</t>
        </is>
      </c>
      <c r="H5" t="inlineStr">
        <is>
          <t>Used for training walks, a 26.2-mile walking marathon (17 May 2025), and running since June 2024. Strava history (runs + walks ≥ 3km, June 2024–Aug 2026) totalled 321.26 km; logged conservatively at 300 km. Add gear in Strava (Settings &gt; My Gear) going forward so mileage tracks automatically and precisely.</t>
        </is>
      </c>
      <c r="I5">
        <f>D5+E5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14" customWidth="1" min="1" max="1"/>
    <col width="16" customWidth="1" min="2" max="2"/>
    <col width="55" customWidth="1" min="3" max="3"/>
    <col width="55" customWidth="1" min="4" max="4"/>
    <col width="55" customWidth="1" min="5" max="5"/>
    <col width="11" customWidth="1" min="6" max="6"/>
  </cols>
  <sheetData>
    <row r="1">
      <c r="A1" s="1" t="inlineStr">
        <is>
          <t>COACH JOURNAL</t>
        </is>
      </c>
    </row>
    <row r="4">
      <c r="A4" s="6" t="inlineStr">
        <is>
          <t>Date</t>
        </is>
      </c>
      <c r="B4" s="6" t="inlineStr">
        <is>
          <t>Entry Type</t>
        </is>
      </c>
      <c r="C4" s="6" t="inlineStr">
        <is>
          <t>Observation</t>
        </is>
      </c>
      <c r="D4" s="6" t="inlineStr">
        <is>
          <t>Evidence</t>
        </is>
      </c>
      <c r="E4" s="6" t="inlineStr">
        <is>
          <t>Decision</t>
        </is>
      </c>
      <c r="F4" s="6" t="inlineStr">
        <is>
          <t>Status</t>
        </is>
      </c>
    </row>
    <row r="5">
      <c r="A5" s="10" t="n">
        <v>46237</v>
      </c>
      <c r="B5" t="inlineStr">
        <is>
          <t>Run Review</t>
        </is>
      </c>
      <c r="C5" t="inlineStr">
        <is>
          <t>Breathing was difficult early but settled as the run progressed.</t>
        </is>
      </c>
      <c r="D5" t="inlineStr">
        <is>
          <t>RPE 5; HR increased gradually; athlete reported growing into the session.</t>
        </is>
      </c>
      <c r="E5" t="inlineStr">
        <is>
          <t>Repeat the session rather than progress immediately.</t>
        </is>
      </c>
      <c r="F5" t="inlineStr">
        <is>
          <t>Watching</t>
        </is>
      </c>
    </row>
    <row r="6">
      <c r="A6" s="10" t="n">
        <v>46237</v>
      </c>
      <c r="B6" t="inlineStr">
        <is>
          <t>Gear</t>
        </is>
      </c>
      <c r="C6" t="inlineStr">
        <is>
          <t>Heels appeared to roll inward slightly in Clifton 9s.</t>
        </is>
      </c>
      <c r="D6" t="inlineStr">
        <is>
          <t>Subjective shoe feedback; no pain reported.</t>
        </is>
      </c>
      <c r="E6" t="inlineStr">
        <is>
          <t>Monitor after each run; no shoe or orthotic change yet.</t>
        </is>
      </c>
      <c r="F6" t="inlineStr">
        <is>
          <t>Watching</t>
        </is>
      </c>
    </row>
    <row r="7">
      <c r="A7" s="10" t="n">
        <v>46237</v>
      </c>
      <c r="B7" t="inlineStr">
        <is>
          <t>Training Decision</t>
        </is>
      </c>
      <c r="C7" t="inlineStr">
        <is>
          <t>Athlete finished with reserve.</t>
        </is>
      </c>
      <c r="D7" t="inlineStr">
        <is>
          <t>Could have completed another couple of intervals at a slower pace.</t>
        </is>
      </c>
      <c r="E7" t="inlineStr">
        <is>
          <t>Keep Run #2 identical and aim for lower perceived effort.</t>
        </is>
      </c>
      <c r="F7" t="inlineStr">
        <is>
          <t>Active</t>
        </is>
      </c>
    </row>
    <row r="8">
      <c r="A8" s="10" t="n">
        <v>46239</v>
      </c>
      <c r="B8" t="inlineStr">
        <is>
          <t>Run Review</t>
        </is>
      </c>
      <c r="C8" t="inlineStr">
        <is>
          <t>R002 improved distance and average HR over identical elapsed time.</t>
        </is>
      </c>
      <c r="D8" t="inlineStr">
        <is>
          <t>4.11 km vs 3.92 km; 128 bpm vs 132 bpm; final interval was one of the fastest.</t>
        </is>
      </c>
      <c r="E8" t="inlineStr">
        <is>
          <t>Recognise aerobic improvement but do not increase load until shin symptoms settle.</t>
        </is>
      </c>
      <c r="F8" t="inlineStr">
        <is>
          <t>Watching</t>
        </is>
      </c>
    </row>
    <row r="9">
      <c r="A9" s="10" t="n">
        <v>46239</v>
      </c>
      <c r="B9" t="inlineStr">
        <is>
          <t>Health</t>
        </is>
      </c>
      <c r="C9" t="inlineStr">
        <is>
          <t>Shin pain appeared around minutes 22–25.</t>
        </is>
      </c>
      <c r="D9" t="inlineStr">
        <is>
          <t>Athlete reported body otherwise felt fine and completed the final interval strongly.</t>
        </is>
      </c>
      <c r="E9" t="inlineStr">
        <is>
          <t>Reassess pain during walking and daily activity before scheduling the next run.</t>
        </is>
      </c>
      <c r="F9" t="inlineStr">
        <is>
          <t>Active</t>
        </is>
      </c>
    </row>
    <row r="10">
      <c r="A10" s="9" t="n">
        <v>46239</v>
      </c>
      <c r="B10" t="inlineStr">
        <is>
          <t>Data Update</t>
        </is>
      </c>
      <c r="C10" t="inlineStr">
        <is>
          <t>R002 RPE confirmed at 6/10 by athlete. Cadence flat between R001 (63.1) and R002 (63.9) — low for running, plausible contributor to shin loading given athlete's height, alongside the heel-roll noted in R001.</t>
        </is>
      </c>
      <c r="D10" t="inlineStr">
        <is>
          <t>Interval splits show R002 slowed at intervals 6-7 (shin pain onset) then produced the fastest interval of the run at interval 8 — flagged as possible gait compensation rather than pure fitness gain, pending clarity.</t>
        </is>
      </c>
      <c r="E10" t="inlineStr">
        <is>
          <t>No conclusion drawn on cadence; noted for future reference. Progression decision unchanged: wait for pain-free daily life before R003.</t>
        </is>
      </c>
      <c r="F10" t="inlineStr">
        <is>
          <t>Watching</t>
        </is>
      </c>
    </row>
    <row r="11">
      <c r="A11" s="9" t="n">
        <v>46239</v>
      </c>
      <c r="B11" t="inlineStr">
        <is>
          <t>Gear</t>
        </is>
      </c>
      <c r="C11" t="inlineStr">
        <is>
          <t>Hoka Clifton 9 shoe mileage estimated from full Strava history (runs + walks ≥3km, June 2024–Aug 2026): 321.26 km actual, logged conservatively at 300 km. Total with project mileage now ~308 km against a 700 km replace estimate.</t>
        </is>
      </c>
      <c r="D11" t="inlineStr">
        <is>
          <t>Shoes are roughly 44% through typical lifespan, not fresh. This sits alongside low cadence (~63/min) and heel-roll noted in R001 as another plausible contributor to R002's shin pain — reduced cushioning/support, not just form.</t>
        </is>
      </c>
      <c r="E11" t="inlineStr">
        <is>
          <t>No action yet. If shin pain recurs past R003, shoe wear should be part of that conversation alongside gait, not dismissed as coincidence.</t>
        </is>
      </c>
      <c r="F11" t="inlineStr">
        <is>
          <t>Watching</t>
        </is>
      </c>
    </row>
    <row r="12">
      <c r="A12" s="9" t="n">
        <v>46243</v>
      </c>
      <c r="B12" t="inlineStr">
        <is>
          <t>Run Review</t>
        </is>
      </c>
      <c r="C12" t="inlineStr">
        <is>
          <t>R003 run in ~28C heat after a weekend of alcohol and three 250-mile drives. Pace matched R001, HR notably elevated vs both prior runs despite less climbing.</t>
        </is>
      </c>
      <c r="D12" t="inlineStr">
        <is>
          <t>9:42/km pace (vs 9:43 R001, 9:31 R002); avg HR 137 (vs 132 R001, 128 R002); elevation only 23m (least of the three runs); HR climbed steadily through session without recovering in walk intervals.</t>
        </is>
      </c>
      <c r="E12" t="inlineStr">
        <is>
          <t>Elevated HR attributed to heat/dehydration/alcohol, not fitness regression. Shin pain present but reduced vs R002 - genuine improving trend, not resolved.</t>
        </is>
      </c>
      <c r="F12" t="inlineStr">
        <is>
          <t>Watching</t>
        </is>
      </c>
    </row>
    <row r="13">
      <c r="A13" s="9" t="n">
        <v>46243</v>
      </c>
      <c r="B13" t="inlineStr">
        <is>
          <t>Training Decision</t>
        </is>
      </c>
      <c r="C13" t="inlineStr">
        <is>
          <t>Shin pain improving (R002 -&gt; R003) but not yet resolved. RPE 6/10, described as heavy legs and shins.</t>
        </is>
      </c>
      <c r="D13" t="inlineStr">
        <is>
          <t>Athlete report: 'not much pain, less pain than R002... heavy legs and shins, not overly painful.'</t>
        </is>
      </c>
      <c r="E13" t="inlineStr">
        <is>
          <t>Hold, not progress. R004 repeats identical structure Wed 12 Aug, contingent on continued shin improvement through Tue. A repeat of unresolved pain in R004 (two of two most recent sessions) would move this to recommending a physio assessment.</t>
        </is>
      </c>
      <c r="F13" t="inlineStr">
        <is>
          <t>Active</t>
        </is>
      </c>
    </row>
    <row r="14">
      <c r="A14" s="9" t="n">
        <v>46244</v>
      </c>
      <c r="B14" t="inlineStr">
        <is>
          <t>Gear</t>
        </is>
      </c>
      <c r="C14" t="inlineStr">
        <is>
          <t>In-store machine gait scan (Sports Direct, not a clinician) recommends a neutral shoe. Candidates given: Adidas Adizero Evo SL, ASICS Gel Nimbus 28, On Cloudsurfer Max, Nike Vomero 18, On Cloudmonster 2, ASICS Novablast 6.</t>
        </is>
      </c>
      <c r="D14" t="inlineStr">
        <is>
          <t>Machine screening, not a professional assessment - treat as one data point, not a diagnosis. Neutral recommendation is at least consistent with current Hoka Clifton 9 (also neutral). Adizero Evo SL is a lighter tempo-leaning shoe, not comparable to the others as a daily base-building trainer.</t>
        </is>
      </c>
      <c r="E14" t="inlineStr">
        <is>
          <t>No shoe change before R004 - keep the shin pain recovery test clean. If shin pain doesn't resolve, escalate to an actual physio assessment, not another machine scan. Revisit shoe choice separately once R004 outcome is known.</t>
        </is>
      </c>
      <c r="F14" t="inlineStr">
        <is>
          <t>Watching</t>
        </is>
      </c>
    </row>
    <row r="15">
      <c r="A15" s="10" t="n">
        <v>46246</v>
      </c>
      <c r="B15" t="inlineStr">
        <is>
          <t>Data Update</t>
        </is>
      </c>
      <c r="C15" t="inlineStr">
        <is>
          <t>R004 done - 4.17 km, avg HR 135, RPE 5/10. Little to no shin pain (brief couple-minute flare, resolved). First fully clean session of the block. R005 (13 Aug) scheduled as an identical repeat, not a progression - rule needs two consecutive clean sessions before advancing the run/walk ladder to 3:2 x6.</t>
        </is>
      </c>
      <c r="D15" t="inlineStr">
        <is>
          <t>Farthest distance yet; HR lower than R003 (heat-affected) despite similar pace; laps confirm normal cardiac drift.</t>
        </is>
      </c>
    </row>
    <row r="16">
      <c r="A16" s="10" t="n">
        <v>46246</v>
      </c>
      <c r="B16" t="inlineStr">
        <is>
          <t>Reference</t>
        </is>
      </c>
      <c r="C16" t="inlineStr">
        <is>
          <t>Athlete's most recent verified 5K PB: 33:54, set 24 May 2024 - over 2 years before this training block started, predating the current shin issue and current fitness/weight. Useful as a rough historical sanity check only, not a basis for a current-fitness prediction.</t>
        </is>
      </c>
      <c r="D16" t="inlineStr">
        <is>
          <t>Athlete-reported date; matches Garmin's stored personal record (33:54, no date on record). Will be superseded once a genuine current-block 5K time exists (see Race Plan tab, prediction panel note).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16" customWidth="1" min="1" max="1"/>
    <col width="60" customWidth="1" min="2" max="2"/>
    <col width="26" customWidth="1" min="3" max="3"/>
    <col width="55" customWidth="1" min="4" max="4"/>
  </cols>
  <sheetData>
    <row r="1">
      <c r="A1" s="1" t="inlineStr">
        <is>
          <t>HOW THIS TRAINING LOG WORKS — v2 (Cowork + Strava)</t>
        </is>
      </c>
    </row>
    <row r="4">
      <c r="A4" s="6" t="inlineStr">
        <is>
          <t>Sheet</t>
        </is>
      </c>
      <c r="B4" s="6" t="inlineStr">
        <is>
          <t>Purpose</t>
        </is>
      </c>
      <c r="C4" s="6" t="inlineStr">
        <is>
          <t>Updated When</t>
        </is>
      </c>
      <c r="D4" s="6" t="inlineStr">
        <is>
          <t>What You Need To Do</t>
        </is>
      </c>
    </row>
    <row r="5">
      <c r="A5" t="inlineStr">
        <is>
          <t>Coach Brief</t>
        </is>
      </c>
      <c r="B5" t="inlineStr">
        <is>
          <t>The full coaching contract: athlete profile, philosophy, comms style, current concern.</t>
        </is>
      </c>
      <c r="C5" t="inlineStr">
        <is>
          <t>Rarely — only if circumstances change</t>
        </is>
      </c>
      <c r="D5" t="inlineStr">
        <is>
          <t>Tell me if anything here goes out of date.</t>
        </is>
      </c>
    </row>
    <row r="6">
      <c r="A6" t="inlineStr">
        <is>
          <t>Dashboard</t>
        </is>
      </c>
      <c r="B6" t="inlineStr">
        <is>
          <t>Phone-friendly snapshot. Also mirrored live in the Cowork dashboard artifact.</t>
        </is>
      </c>
      <c r="C6" t="inlineStr">
        <is>
          <t>After every run I log</t>
        </is>
      </c>
      <c r="D6" t="inlineStr">
        <is>
          <t>Nothing — quick view.</t>
        </is>
      </c>
    </row>
    <row r="7">
      <c r="A7" t="inlineStr">
        <is>
          <t>Current Week</t>
        </is>
      </c>
      <c r="B7" t="inlineStr">
        <is>
          <t>Live training plan and status.</t>
        </is>
      </c>
      <c r="C7" t="inlineStr">
        <is>
          <t>After each workout or plan change</t>
        </is>
      </c>
      <c r="D7" t="inlineStr">
        <is>
          <t>Follow the next planned session.</t>
        </is>
      </c>
    </row>
    <row r="8">
      <c r="A8" t="inlineStr">
        <is>
          <t>Run Archive</t>
        </is>
      </c>
      <c r="B8" t="inlineStr">
        <is>
          <t>Permanent database of every run: Strava metrics + your RPE/pain/notes + my analysis.</t>
        </is>
      </c>
      <c r="C8" t="inlineStr">
        <is>
          <t>After every run</t>
        </is>
      </c>
      <c r="D8" t="inlineStr">
        <is>
          <t>Tell me: RPE, pain, anything unusual. I pull the rest from Strava.</t>
        </is>
      </c>
    </row>
    <row r="9">
      <c r="A9" t="inlineStr">
        <is>
          <t>Interval Detail</t>
        </is>
      </c>
      <c r="B9" t="inlineStr">
        <is>
          <t>Every interval/lap for structured workouts.</t>
        </is>
      </c>
      <c r="C9" t="inlineStr">
        <is>
          <t>After every run</t>
        </is>
      </c>
      <c r="D9" t="inlineStr">
        <is>
          <t>Nothing — pulled from Strava laps.</t>
        </is>
      </c>
    </row>
    <row r="10">
      <c r="A10" t="inlineStr">
        <is>
          <t>Health</t>
        </is>
      </c>
      <c r="B10" t="inlineStr">
        <is>
          <t>Weight, sleep, resting HR, recovery trend.</t>
        </is>
      </c>
      <c r="C10" t="inlineStr">
        <is>
          <t>Weekly or when you tell me</t>
        </is>
      </c>
      <c r="D10" t="inlineStr">
        <is>
          <t>Send me a weigh-in weekly, or your Apple Health sleep/RHR on iOS.</t>
        </is>
      </c>
    </row>
    <row r="11">
      <c r="A11" t="inlineStr">
        <is>
          <t>Progress</t>
        </is>
      </c>
      <c r="B11" t="inlineStr">
        <is>
          <t>Rolling KPI vs start.</t>
        </is>
      </c>
      <c r="C11" t="inlineStr">
        <is>
          <t>Automatically</t>
        </is>
      </c>
      <c r="D11" t="inlineStr">
        <is>
          <t>Nothing.</t>
        </is>
      </c>
    </row>
    <row r="12">
      <c r="A12" t="inlineStr">
        <is>
          <t>Milestones</t>
        </is>
      </c>
      <c r="B12" t="inlineStr">
        <is>
          <t>Big achievements and story moments.</t>
        </is>
      </c>
      <c r="C12" t="inlineStr">
        <is>
          <t>When achieved</t>
        </is>
      </c>
      <c r="D12" t="inlineStr">
        <is>
          <t>Nothing — I'll flag them.</t>
        </is>
      </c>
    </row>
    <row r="13">
      <c r="A13" t="inlineStr">
        <is>
          <t>Gear</t>
        </is>
      </c>
      <c r="B13" t="inlineStr">
        <is>
          <t>Shoe mileage and replacement estimate.</t>
        </is>
      </c>
      <c r="C13" t="inlineStr">
        <is>
          <t>After every run</t>
        </is>
      </c>
      <c r="D13" t="inlineStr">
        <is>
          <t>Optional: add your shoes as Gear in Strava so mileage cross-checks automatically.</t>
        </is>
      </c>
    </row>
    <row r="14">
      <c r="A14" t="inlineStr">
        <is>
          <t>Coach Journal</t>
        </is>
      </c>
      <c r="B14" t="inlineStr">
        <is>
          <t>Long-term patterns, concerns, decisions — the reasoning trail.</t>
        </is>
      </c>
      <c r="C14" t="inlineStr">
        <is>
          <t>Whenever a pattern emerges</t>
        </is>
      </c>
      <c r="D14" t="inlineStr">
        <is>
          <t>Be honest about how you feel.</t>
        </is>
      </c>
    </row>
    <row r="16">
      <c r="A16" s="3" t="inlineStr">
        <is>
          <t>Workflow:</t>
        </is>
      </c>
    </row>
    <row r="17">
      <c r="A17" t="inlineStr">
        <is>
          <t>1. Run it. 2. Tell me here (Cowork, on your Mac) or in the Claude app (phone): RPE, pain, anything unusual.</t>
        </is>
      </c>
    </row>
    <row r="18">
      <c r="A18" t="inlineStr">
        <is>
          <t>3. I pull the Strava data, update this file, refresh the live dashboard, and give you the coaching call: repeat or progress.</t>
        </is>
      </c>
    </row>
    <row r="19">
      <c r="A19" t="inlineStr">
        <is>
          <t>4. The live dashboard (Cowork Artifacts view) is always current on this Mac — open it here for the plan-vs-actual view. It doesn't sync to phone; this is a laptop-based workflow by choice.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2026-08-05T11:07:54Z</dcterms:created>
  <dcterms:modified xmlns:dcterms="http://purl.org/dc/terms/" xmlns:xsi="http://www.w3.org/2001/XMLSchema-instance" xsi:type="dcterms:W3CDTF">2026-08-12T10:11:37Z</dcterms:modified>
</cp:coreProperties>
</file>